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_rels/workbook.xml.rels" ContentType="application/vnd.openxmlformats-package.relationships+xml"/>
  <Override PartName="/xl/media/image1.png" ContentType="image/png"/>
  <Override PartName="/xl/media/image2.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Paper LBO - Template" sheetId="1" state="visible" r:id="rId3"/>
    <sheet name="Bull Case" sheetId="2" state="visible" r:id="rId4"/>
    <sheet name="Bear Case" sheetId="3" state="visible" r:id="rId5"/>
    <sheet name="Scenario Summary" sheetId="4" state="visible" r:id="rId6"/>
    <sheet name="Returns Attribution" sheetId="5" state="visible" r:id="rId7"/>
    <sheet name="Key Stats" sheetId="6" state="visible" r:id="rId8"/>
    <sheet name="Income Statement" sheetId="7" state="visible" r:id="rId9"/>
    <sheet name="Balance Sheet" sheetId="8" state="visible" r:id="rId10"/>
    <sheet name="Cash Flow" sheetId="9" state="visible" r:id="rId11"/>
    <sheet name="Capital Structure Summary" sheetId="10" state="visible" r:id="rId12"/>
    <sheet name="Quick IRR rule of thumb" sheetId="11" state="visible" r:id="rId13"/>
  </sheets>
  <definedNames>
    <definedName function="false" hidden="false" localSheetId="7" name="_xlnm.Print_Titles" vbProcedure="false">'Balance Sheet'!$1:$3</definedName>
    <definedName function="false" hidden="false" localSheetId="2" name="_xlnm.Print_Area" vbProcedure="false">'Bear Case'!$C$2:$O$96</definedName>
    <definedName function="false" hidden="false" localSheetId="1" name="_xlnm.Print_Area" vbProcedure="false">'Bull Case'!$C$2:$O$96</definedName>
    <definedName function="false" hidden="false" localSheetId="9" name="_xlnm.Print_Titles" vbProcedure="false">'Capital Structure Summary'!$1:$3</definedName>
    <definedName function="false" hidden="false" localSheetId="8" name="_xlnm.Print_Titles" vbProcedure="false">'Cash Flow'!$1:$3</definedName>
    <definedName function="false" hidden="false" localSheetId="6" name="_xlnm.Print_Titles" vbProcedure="false">'Income Statement'!$1:$3</definedName>
    <definedName function="false" hidden="false" localSheetId="5" name="_xlnm.Print_Titles" vbProcedure="false">'Key Stats'!$1:$3</definedName>
    <definedName function="false" hidden="false" localSheetId="0" name="_xlnm.Print_Area" vbProcedure="false">'Paper LBO - Template'!$C$2:$O$96</definedName>
  </definedNames>
  <calcPr iterateCount="1000" refMode="A1" iterate="true" iterateDelta="1E-007"/>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D7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Sponsor proceeds are 90% because 5% of equity is awarded as management incentive shares.</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D7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Sponsor proceeds are 90% because 5% of equity is awarded as management incentive shares.</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D7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Sponsor proceeds are 90% because 5% of equity is awarded as management incentive shares.</t>
        </r>
      </text>
    </comment>
  </commentList>
</comments>
</file>

<file path=xl/sharedStrings.xml><?xml version="1.0" encoding="utf-8"?>
<sst xmlns="http://schemas.openxmlformats.org/spreadsheetml/2006/main" count="1426" uniqueCount="547">
  <si>
    <t xml:space="preserve">Dynacast LBO - Summer 2025</t>
  </si>
  <si>
    <t xml:space="preserve">($ in millions)</t>
  </si>
  <si>
    <t xml:space="preserve">Assumptions</t>
  </si>
  <si>
    <t xml:space="preserve">Entry Assumptions</t>
  </si>
  <si>
    <t xml:space="preserve">EV Multiple</t>
  </si>
  <si>
    <t xml:space="preserve">EBITDA</t>
  </si>
  <si>
    <t xml:space="preserve">Enterprise Value</t>
  </si>
  <si>
    <t xml:space="preserve">Existing Debt</t>
  </si>
  <si>
    <t xml:space="preserve">Implied Value of Equity</t>
  </si>
  <si>
    <t xml:space="preserve">Holding Period</t>
  </si>
  <si>
    <t xml:space="preserve">Max Leverage</t>
  </si>
  <si>
    <t xml:space="preserve">Mgmt. Rollover</t>
  </si>
  <si>
    <t xml:space="preserve">Est. Txn Fees &amp; Exp (% of TEV)</t>
  </si>
  <si>
    <t xml:space="preserve">Sources and Uses</t>
  </si>
  <si>
    <t xml:space="preserve">Sources</t>
  </si>
  <si>
    <t xml:space="preserve">Uses</t>
  </si>
  <si>
    <t xml:space="preserve">Revolver</t>
  </si>
  <si>
    <t xml:space="preserve">Consideration to Equity Holders</t>
  </si>
  <si>
    <t xml:space="preserve">3M SOFR</t>
  </si>
  <si>
    <t xml:space="preserve">Spread</t>
  </si>
  <si>
    <t xml:space="preserve">Term Loan B</t>
  </si>
  <si>
    <t xml:space="preserve">Refi Existing Debt</t>
  </si>
  <si>
    <t xml:space="preserve">Est. Txn Fees &amp; Expenses</t>
  </si>
  <si>
    <t xml:space="preserve">Sponsor Equity Check</t>
  </si>
  <si>
    <t xml:space="preserve">Total Sources</t>
  </si>
  <si>
    <t xml:space="preserve">Total Uses</t>
  </si>
  <si>
    <t xml:space="preserve">PF LTM Sep</t>
  </si>
  <si>
    <t xml:space="preserve">Projected</t>
  </si>
  <si>
    <t xml:space="preserve">Simple P&amp;L</t>
  </si>
  <si>
    <t xml:space="preserve">Revenue</t>
  </si>
  <si>
    <t xml:space="preserve">% Growth</t>
  </si>
  <si>
    <t xml:space="preserve">% Margin</t>
  </si>
  <si>
    <t xml:space="preserve">D&amp;A</t>
  </si>
  <si>
    <t xml:space="preserve">% Of Capex</t>
  </si>
  <si>
    <t xml:space="preserve">EBIT </t>
  </si>
  <si>
    <t xml:space="preserve">Net Interest Expense</t>
  </si>
  <si>
    <t xml:space="preserve">--</t>
  </si>
  <si>
    <t xml:space="preserve">EBT</t>
  </si>
  <si>
    <t xml:space="preserve">Income Tax Expense</t>
  </si>
  <si>
    <t xml:space="preserve">Net Income</t>
  </si>
  <si>
    <t xml:space="preserve">PF LTM</t>
  </si>
  <si>
    <t xml:space="preserve">Simple FCF Build</t>
  </si>
  <si>
    <t xml:space="preserve">Capex </t>
  </si>
  <si>
    <t xml:space="preserve">Net Change in WC</t>
  </si>
  <si>
    <t xml:space="preserve">Interest</t>
  </si>
  <si>
    <t xml:space="preserve">Taxes</t>
  </si>
  <si>
    <t xml:space="preserve">LFCF</t>
  </si>
  <si>
    <t xml:space="preserve">Capex as % of Revenue</t>
  </si>
  <si>
    <t xml:space="preserve">D&amp;A as a % of Capex</t>
  </si>
  <si>
    <t xml:space="preserve">NWC as a % of Revenue</t>
  </si>
  <si>
    <t xml:space="preserve">NWC $</t>
  </si>
  <si>
    <t xml:space="preserve">Income Tax Rate</t>
  </si>
  <si>
    <t xml:space="preserve">PF</t>
  </si>
  <si>
    <t xml:space="preserve">Term Loan Pay Down</t>
  </si>
  <si>
    <t xml:space="preserve">BOP</t>
  </si>
  <si>
    <t xml:space="preserve">Paydown</t>
  </si>
  <si>
    <t xml:space="preserve">EOP</t>
  </si>
  <si>
    <t xml:space="preserve">Gross Leverage</t>
  </si>
  <si>
    <t xml:space="preserve">Average Balance</t>
  </si>
  <si>
    <t xml:space="preserve">All-In Interest Expense</t>
  </si>
  <si>
    <t xml:space="preserve">Exit Assumptions and Calculations</t>
  </si>
  <si>
    <t xml:space="preserve">TEV</t>
  </si>
  <si>
    <t xml:space="preserve">Consideration to Equity Holders @ Exit</t>
  </si>
  <si>
    <t xml:space="preserve">Sponsor Ownership % </t>
  </si>
  <si>
    <t xml:space="preserve">Sponsor Equity Proceeds @ Exit </t>
  </si>
  <si>
    <t xml:space="preserve">Sponsor Equity Check @ Entry </t>
  </si>
  <si>
    <t xml:space="preserve">MOIC</t>
  </si>
  <si>
    <t xml:space="preserve">IRR</t>
  </si>
  <si>
    <t xml:space="preserve">Quick IRR Calc Method</t>
  </si>
  <si>
    <t xml:space="preserve"> =MOIC^(1 / Investment Period) -1</t>
  </si>
  <si>
    <t xml:space="preserve">Approach &amp; Best Practices</t>
  </si>
  <si>
    <r>
      <rPr>
        <sz val="9"/>
        <rFont val="Arial"/>
        <family val="2"/>
        <charset val="1"/>
      </rPr>
      <t xml:space="preserve">At this stage in a process you are far less concerned about validating the underlying operating assumptions and far more focused on making sure the "quick &amp; dirty" returns remotely work. Less is more at this stage - you don't need to get super granular on the structure, fees etc. Keep it so simple that you could do this on a napkin. Best practices: format &amp; </t>
    </r>
    <r>
      <rPr>
        <b val="true"/>
        <sz val="9"/>
        <color rgb="FF0000FF"/>
        <rFont val="Arial"/>
        <family val="2"/>
        <charset val="1"/>
      </rPr>
      <t xml:space="preserve">hardcode</t>
    </r>
    <r>
      <rPr>
        <sz val="9"/>
        <rFont val="Arial"/>
        <family val="2"/>
        <charset val="1"/>
      </rPr>
      <t xml:space="preserve"> the key cells that drive the analysis first. After you have the drivers in place, begin linking / calculating the rest. No need to have a bunch of complex calcs here, you want to be able to quickly toggle your assumptions with ease.</t>
    </r>
  </si>
  <si>
    <t xml:space="preserve">Paper LBO Steps &amp; Notes</t>
  </si>
  <si>
    <t xml:space="preserve">1) Input the entry assumptions. Note - For simplicity, you don't have to account for the existing debt at this stage (cash free &amp; debt free). However, if you have the info, its worth including.</t>
  </si>
  <si>
    <t xml:space="preserve">2) Solve for Equity Purchase Price</t>
  </si>
  <si>
    <t xml:space="preserve">3) Set up the S&amp;U. Note - For a paper LBO, no need to get fancy on the cap structure and fees. Keep it simple and just assume a max leverage multiple and cost of debt (don't worry about OID or other fees on the debt). Make new sponsor equity the plug for the S&amp;U.</t>
  </si>
  <si>
    <t xml:space="preserve">4) Set up the "simple" P&amp;L. Note - Set up the key P&amp;L driver assumptions (revenue &amp; margins) and leave interest expense blank at this stage</t>
  </si>
  <si>
    <t xml:space="preserve">5) Set up the "simple" FCF build. Note - Continue to keep interest expense blank and input the key driver assumptions for FCF (Capex, D&amp;A, NWC, Tax Rate)</t>
  </si>
  <si>
    <t xml:space="preserve">6) Set up the debt paydown table and keep the assumptions super high level (don’t worry about the revolver funding losses, assume 100% of FCF is used to repay debt, don't need to account for the term loan amort at this stage).</t>
  </si>
  <si>
    <t xml:space="preserve">7) Calculate interest expense and link the #"s back to the P&amp;L and FCF build</t>
  </si>
  <si>
    <t xml:space="preserve">8) Input the exit assumptions. For simplicity, assume the exit multiple is the same as the entry multiple</t>
  </si>
  <si>
    <t xml:space="preserve">9) Solve for equity value at sale and run the returns math</t>
  </si>
  <si>
    <t xml:space="preserve">10) Tick and tie the #'s to ensure all calcs are correct</t>
  </si>
  <si>
    <t xml:space="preserve">Dynacast LBO - Bull Case ($ in millions)</t>
  </si>
  <si>
    <t xml:space="preserve">BULL CASE - scenario tab. Changed inputs shaded yellow (blue font). Sources and rationale in rows 99+.</t>
  </si>
  <si>
    <t xml:space="preserve">BULL CASE: three assumptions changed vs. Base (all other inputs, structure, 10% dilution and 3% fees unchanged)</t>
  </si>
  <si>
    <t xml:space="preserve">Assumption 1 - Revenue growth 11.9%/yr for 2015-19 (Base 9.0%).</t>
  </si>
  <si>
    <t xml:space="preserve">  Case facts: 2013 sales grew 11.7% (580.0 vs 519.4, Ex.3); Asia +14.4%, North America +12.1% in 2013 (Ex.2); IBD group targets 50+ MNC accounts; Shanghai model to be replicated in China; MIM launched 2013 (case pp.9-12).</t>
  </si>
  <si>
    <t xml:space="preserve">  Third-party: TechNavio forecasts 11.89% CAGR for global aluminum die casting, 2012-16 (cited in case Ex.2, p.8); aluminum = 19.8% of 2013 revenue (p.11). Supports 11.9% as a ceiling for successful execution; not a market-wide claim.</t>
  </si>
  <si>
    <t xml:space="preserve">Assumption 2 - EBITDA margin +0.5 pt: 20.5% in 2015, 21.5% in 2016-19 (Base 20.0% / 21.0%).</t>
  </si>
  <si>
    <t xml:space="preserve">  Case facts: 9M-14 adj. EBITDA margin was 19.4% (Ex.6/Ex.3) vs. 18.0% in 2012-13; 9M-14 segment margins were Europe 21.0%, Asia 21.6%, N. America 21.8% before ~2.0% corporate cost (Ex.6). Multi-slide technology and in-house tooling give scale cost advantages (pp.10-11); TBM Consulting did operational diligence (p.2).</t>
  </si>
  <si>
    <t xml:space="preserve">  Sponsor-led value creation (procurement, plant utilization via internal re-bidding p.10) is the lever; 21.5% stays near the best segment margins.</t>
  </si>
  <si>
    <t xml:space="preserve">Assumption 3 - Exit multiple 10.1x (Base 8.9x = entry).</t>
  </si>
  <si>
    <t xml:space="preserve">  Third-party: Partners Group trading comps, 11/19/14 (case Ex.8): Metal &amp; Die Casting median T12M EV/EBITDA 10.1x (mean 11.3x). Football field puts trading comps at $1,142-1,489M = 9.2x-12.1x on $123.5M (Ex.7). 10.1x is the median of the closest peer group; no premium to it is assumed.</t>
  </si>
  <si>
    <t xml:space="preserve">Result (model output): see Scenario Summary tab. Target range 25-30% IRR.</t>
  </si>
  <si>
    <t xml:space="preserve">Note: model requires iterative calculation (File &gt; Options &gt; Formulas &gt; Enable iterative calculation); this file is saved with it enabled.</t>
  </si>
  <si>
    <t xml:space="preserve">Dynacast LBO - Bear Case ($ in millions)</t>
  </si>
  <si>
    <t xml:space="preserve">BEAR CASE - scenario tab. Changed inputs shaded yellow (blue font). Sources and rationale in rows 99+.</t>
  </si>
  <si>
    <t xml:space="preserve">BEAR CASE: three assumptions changed vs. Base (all other inputs, structure, 10% dilution and 3% fees unchanged)</t>
  </si>
  <si>
    <t xml:space="preserve">Assumption 1 - Revenue growth 8.0%/yr for 2015-19 (Base 9.0%).</t>
  </si>
  <si>
    <t xml:space="preserve">  Case facts: Europe, the slowest segment, grew 8.0% in 2013 (184.3 vs 170.6, Ex.2); case flags Europe recession, fixed costs hard to adjust, and unpredictable demand (Ex.10). Customers have no long-term contracts and can delay or cancel orders (p.14, Ex.10); auto safety/electronics is 38.2% of sales (p.12). 9M-14 growth was 8.6% (Ex.3).</t>
  </si>
  <si>
    <t xml:space="preserve">  Modeled as company-wide growth at the lowest regional rate observed.</t>
  </si>
  <si>
    <t xml:space="preserve">Assumption 2 - EBITDA margin held flat at 19.5% for 2015-19 (Base 20.0% / 21.0%): no expansion.</t>
  </si>
  <si>
    <t xml:space="preserve">  Case facts: adj. EBITDA margin was 18.0% in 2012 and 2013 and 19.4% in 9M-14 (Ex.6). Raw-material cost swings are passed through only with a one-month lag; energy costs unhedged (Ex.10). Margin held at roughly the latest observed level.</t>
  </si>
  <si>
    <t xml:space="preserve">Assumption 3 - Exit multiple 7.63x = $942M / $123.5M (Base 8.9x).</t>
  </si>
  <si>
    <t xml:space="preserve">  Third-party: Partners Group football field (case Ex.7) shows the LBO-analysis valuation range as $942M-$1,128M of EV; the low end is 7.63x on PF LTM EBITDA. Entry here is 8.9x ($1,099M). Exit therefore assumes multiple compression to the low end of the sponsor's own LBO range. Trading comps trade at 9.2x+ (Ex.7-8), so this is a stress, not a forecast.</t>
  </si>
  <si>
    <t xml:space="preserve">Result (model output): see Scenario Summary tab. Acceptable range 12-15% IRR (user brief).</t>
  </si>
  <si>
    <t xml:space="preserve">Note: model requires iterative calculation; this file is saved with it enabled.</t>
  </si>
  <si>
    <t xml:space="preserve">Dynacast LBO - Scenario Summary ($ in millions)</t>
  </si>
  <si>
    <t xml:space="preserve">Metric</t>
  </si>
  <si>
    <t xml:space="preserve">Base</t>
  </si>
  <si>
    <t xml:space="preserve">Bull</t>
  </si>
  <si>
    <t xml:space="preserve">Bear</t>
  </si>
  <si>
    <t xml:space="preserve">Revenue growth (2015-19, each yr)</t>
  </si>
  <si>
    <t xml:space="preserve">EBITDA margin 2015</t>
  </si>
  <si>
    <t xml:space="preserve">EBITDA margin 2016-19</t>
  </si>
  <si>
    <t xml:space="preserve">Exit EV / EBITDA</t>
  </si>
  <si>
    <t xml:space="preserve">2019 Revenue</t>
  </si>
  <si>
    <t xml:space="preserve">2019 EBITDA</t>
  </si>
  <si>
    <t xml:space="preserve">Term loan balance, end 2019</t>
  </si>
  <si>
    <t xml:space="preserve">Gross leverage, end 2019</t>
  </si>
  <si>
    <t xml:space="preserve">Exit TEV</t>
  </si>
  <si>
    <t xml:space="preserve">Equity to holders at exit</t>
  </si>
  <si>
    <t xml:space="preserve">Sponsor proceeds</t>
  </si>
  <si>
    <t xml:space="preserve">Sponsor equity at entry</t>
  </si>
  <si>
    <t xml:space="preserve">Fund hurdle check</t>
  </si>
  <si>
    <t xml:space="preserve">Target / floor (user brief)</t>
  </si>
  <si>
    <t xml:space="preserve">25-30% target</t>
  </si>
  <si>
    <t xml:space="preserve">12-15% floor</t>
  </si>
  <si>
    <t xml:space="preserve">Result</t>
  </si>
  <si>
    <t xml:space="preserve">All scenarios share entry (8.9x, 4.25x term loan, 3% fees, 5% rollover), tax 25%, capex 4.6% of revenue, NWC 7.7%, 10% exit dilution. Only the three yellow-shaded input groups differ on each scenario tab. Iterative calculation must be on.</t>
  </si>
  <si>
    <t xml:space="preserve">Dynacast LBO - Returns Attribution ($ in millions)</t>
  </si>
  <si>
    <t xml:space="preserve">ENTRY (close, early 2015)</t>
  </si>
  <si>
    <t xml:space="preserve">Entry EV / EBITDA</t>
  </si>
  <si>
    <t xml:space="preserve">Entry EBITDA (PF LTM)</t>
  </si>
  <si>
    <t xml:space="preserve">Entry TEV</t>
  </si>
  <si>
    <t xml:space="preserve">Debt at entry (Term Loan B + revolver)</t>
  </si>
  <si>
    <t xml:space="preserve">Entry transaction fees</t>
  </si>
  <si>
    <t xml:space="preserve">Total equity invested (sponsor + mgmt rollover)</t>
  </si>
  <si>
    <t xml:space="preserve">  of which sponsor equity</t>
  </si>
  <si>
    <t xml:space="preserve">Sponsor ownership at entry</t>
  </si>
  <si>
    <t xml:space="preserve">EXIT (end 2019)</t>
  </si>
  <si>
    <t xml:space="preserve">Exit EBITDA (2019)</t>
  </si>
  <si>
    <t xml:space="preserve">Debt at exit (Term Loan B)</t>
  </si>
  <si>
    <t xml:space="preserve">Exit transaction fees</t>
  </si>
  <si>
    <t xml:space="preserve">Equity value to all holders at exit</t>
  </si>
  <si>
    <t xml:space="preserve">Sponsor ownership at exit (after mgmt incentive dilution)</t>
  </si>
  <si>
    <t xml:space="preserve">BRIDGE 1: CHANGE IN TOTAL EQUITY VALUE (100% of equity, not the sponsor)</t>
  </si>
  <si>
    <t xml:space="preserve">Total equity invested at entry</t>
  </si>
  <si>
    <t xml:space="preserve">+ EBITDA growth  [(Exit EBITDA - Entry EBITDA) x Entry multiple]</t>
  </si>
  <si>
    <t xml:space="preserve">+ Multiple expansion  [(Exit multiple - Entry multiple) x Exit EBITDA]</t>
  </si>
  <si>
    <t xml:space="preserve">+ Debt paydown  [Entry debt - Exit debt]</t>
  </si>
  <si>
    <t xml:space="preserve">- Entry fees (funded with equity, not in entry TEV)</t>
  </si>
  <si>
    <t xml:space="preserve">- Exit fees</t>
  </si>
  <si>
    <t xml:space="preserve">= Equity value to all holders at exit</t>
  </si>
  <si>
    <t xml:space="preserve">Check vs model exit equity (should be 0.0)</t>
  </si>
  <si>
    <t xml:space="preserve">Total equity value created (100%)</t>
  </si>
  <si>
    <t xml:space="preserve">  Share of total equity value created</t>
  </si>
  <si>
    <t xml:space="preserve">EBITDA growth</t>
  </si>
  <si>
    <t xml:space="preserve">Multiple expansion</t>
  </si>
  <si>
    <t xml:space="preserve">Debt paydown</t>
  </si>
  <si>
    <t xml:space="preserve">Fees</t>
  </si>
  <si>
    <t xml:space="preserve">BRIDGE 2: RECONCILE TO SPONSOR (ownership changes from the model)</t>
  </si>
  <si>
    <t xml:space="preserve">Sponsor share of EBITDA growth (at entry ownership)</t>
  </si>
  <si>
    <t xml:space="preserve">Sponsor share of multiple expansion</t>
  </si>
  <si>
    <t xml:space="preserve">Sponsor share of debt paydown</t>
  </si>
  <si>
    <t xml:space="preserve">Sponsor share of fees</t>
  </si>
  <si>
    <t xml:space="preserve">- Dilution: (entry ownership - exit ownership) x exit equity value</t>
  </si>
  <si>
    <t xml:space="preserve">= Sponsor gain</t>
  </si>
  <si>
    <t xml:space="preserve">Check vs model: sponsor proceeds - sponsor equity invested (should be 0.0)</t>
  </si>
  <si>
    <t xml:space="preserve">Sponsor proceeds at exit (model)</t>
  </si>
  <si>
    <t xml:space="preserve">SPONSOR RETURN ATTRIBUTION</t>
  </si>
  <si>
    <t xml:space="preserve">  EBITDA growth (MOIC turns)</t>
  </si>
  <si>
    <t xml:space="preserve">  Multiple expansion</t>
  </si>
  <si>
    <t xml:space="preserve">  Debt paydown</t>
  </si>
  <si>
    <t xml:space="preserve">  Fees</t>
  </si>
  <si>
    <t xml:space="preserve">  Dilution</t>
  </si>
  <si>
    <t xml:space="preserve">  Return of capital (1.00x)</t>
  </si>
  <si>
    <t xml:space="preserve">Check: sum of turns - MOIC (should be 0.00)</t>
  </si>
  <si>
    <t xml:space="preserve">  EBITDA growth (IRR pts, pro rata to sponsor gain)</t>
  </si>
  <si>
    <t xml:space="preserve">  Share of sponsor gain</t>
  </si>
  <si>
    <t xml:space="preserve">Dilution</t>
  </si>
  <si>
    <t xml:space="preserve">How to read this tab</t>
  </si>
  <si>
    <t xml:space="preserve">1) Bridge 1 explains the change in the equity value of ALL holders (sponsor + management rollover + incentive pool), from total equity invested at entry to equity value at exit. EBITDA growth is valued at the entry multiple; multiple expansion is valued on exit EBITDA; debt paydown is the Term Loan B reduction (the model carries no cash balance).</t>
  </si>
  <si>
    <t xml:space="preserve">2) Fees are the reconciling item: the model funds 3% entry fees with equity (they are in Uses, not in entry TEV) and charges 3% exit fees against exit equity (D71). Without them the three drivers do not tie to equity value.</t>
  </si>
  <si>
    <t xml:space="preserve">3) Bridge 2 converts to the sponsor. Entry ownership = sponsor equity / (sponsor + rollover) = about 94.9%; the model sets exit ownership at 90% (D73), which is the management incentive dilution, taken as given. The dilution line = (entry % - exit %) x exit equity value.</t>
  </si>
  <si>
    <t xml:space="preserve">4) MOIC turns = sponsor gain by driver / sponsor equity invested, plus 1.00x return of capital, which sums to the model MOIC. IRR points are allocated pro rata to each driver's share of sponsor gain (an attribution convention, not a separate IRR calculation).</t>
  </si>
  <si>
    <t xml:space="preserve">5) All cells are live formulas off the three case tabs; the grey check rows should read 0.0 / 0.00.</t>
  </si>
  <si>
    <t xml:space="preserve">Dynacast International Inc. &gt; Financials &gt; Key Stats</t>
  </si>
  <si>
    <t xml:space="preserve">In Millions of the trading currency, except per share items.</t>
  </si>
  <si>
    <t xml:space="preserve">Currency:</t>
  </si>
  <si>
    <t xml:space="preserve">Trading Currency</t>
  </si>
  <si>
    <t xml:space="preserve"> </t>
  </si>
  <si>
    <t xml:space="preserve">Conversion:</t>
  </si>
  <si>
    <t xml:space="preserve">Today's Spot Rate</t>
  </si>
  <si>
    <t xml:space="preserve">Order:</t>
  </si>
  <si>
    <t xml:space="preserve">Latest on Right</t>
  </si>
  <si>
    <t xml:space="preserve">Units:</t>
  </si>
  <si>
    <t xml:space="preserve">S&amp;P Capital IQ (Default)</t>
  </si>
  <si>
    <t xml:space="preserve">Decimals:</t>
  </si>
  <si>
    <t xml:space="preserve">Capital IQ (Default)</t>
  </si>
  <si>
    <t xml:space="preserve">Dilution:</t>
  </si>
  <si>
    <t xml:space="preserve">Basic</t>
  </si>
  <si>
    <t xml:space="preserve">Key Financials¹</t>
  </si>
  <si>
    <t xml:space="preserve">For the Fiscal Period Ending
</t>
  </si>
  <si>
    <t xml:space="preserve">12 months
Dec-31-2008A</t>
  </si>
  <si>
    <t xml:space="preserve">12 months
Dec-31-2009A</t>
  </si>
  <si>
    <t xml:space="preserve">12 months
Dec-31-2010A</t>
  </si>
  <si>
    <t xml:space="preserve">12 months
Dec-31-2011A</t>
  </si>
  <si>
    <t xml:space="preserve">12 months
Dec-31-2012A</t>
  </si>
  <si>
    <t xml:space="preserve">12 months
Dec-31-2013A</t>
  </si>
  <si>
    <t xml:space="preserve">LTM²
12 months
Sep-30-2014A</t>
  </si>
  <si>
    <t xml:space="preserve">3Yr CAGR</t>
  </si>
  <si>
    <t xml:space="preserve">5YR CAGR</t>
  </si>
  <si>
    <t xml:space="preserve">Year</t>
  </si>
  <si>
    <t xml:space="preserve">Currency</t>
  </si>
  <si>
    <t xml:space="preserve">USD</t>
  </si>
  <si>
    <t xml:space="preserve">Total Revenue</t>
  </si>
  <si>
    <t xml:space="preserve">  Growth Over Prior Year</t>
  </si>
  <si>
    <t xml:space="preserve">NA</t>
  </si>
  <si>
    <t xml:space="preserve">Gross Profit</t>
  </si>
  <si>
    <t xml:space="preserve">  Margin %</t>
  </si>
  <si>
    <t xml:space="preserve">EBIT</t>
  </si>
  <si>
    <t xml:space="preserve">Earnings from Cont. Ops.</t>
  </si>
  <si>
    <t xml:space="preserve">Diluted EPS Excl. Extra Items³</t>
  </si>
  <si>
    <t xml:space="preserve">NM</t>
  </si>
  <si>
    <t xml:space="preserve">¹All results are taken from the most recently filed statement for each period. When there has been more than one, earlier filings can be viewed on the individual statement pages.</t>
  </si>
  <si>
    <t xml:space="preserve">²Growth rates for the LTM period are calculated against the LTM period ending 12 months before.</t>
  </si>
  <si>
    <t xml:space="preserve">Latest Capitalization (Millions of USD)</t>
  </si>
  <si>
    <t xml:space="preserve">Share Price</t>
  </si>
  <si>
    <t xml:space="preserve">-</t>
  </si>
  <si>
    <t xml:space="preserve">Shares Out.</t>
  </si>
  <si>
    <t xml:space="preserve">Market Capitalization</t>
  </si>
  <si>
    <t xml:space="preserve">- Cash &amp; Short Term Investments</t>
  </si>
  <si>
    <t xml:space="preserve">+ Total Debt</t>
  </si>
  <si>
    <t xml:space="preserve">+ Pref. Equity</t>
  </si>
  <si>
    <t xml:space="preserve">+ Total Minority Interest</t>
  </si>
  <si>
    <t xml:space="preserve">- Long Term Marketable Securities</t>
  </si>
  <si>
    <t xml:space="preserve">= Total Enterprise Value (TEV)</t>
  </si>
  <si>
    <t xml:space="preserve">Book Value of Common Equity</t>
  </si>
  <si>
    <t xml:space="preserve">= Total Capital</t>
  </si>
  <si>
    <t xml:space="preserve">**For companies that have multiple share classes that publicly trade, we are incorporating the different prices to calculate our company level market capitalization.  Please click on the value to see the detailed calculation. Prices shown on this page are the close price of the company’s primary stock class. Shares shown on this page are total company as-reported share values.</t>
  </si>
  <si>
    <t xml:space="preserve">Total Liability includes Total Debt, Minority Interest and Pref. Equity.</t>
  </si>
  <si>
    <t xml:space="preserve">Net Liability includes Total Liability, net of Cash and Short Term Investments.</t>
  </si>
  <si>
    <t xml:space="preserve">TEV includes Market Cap and Net Liability.</t>
  </si>
  <si>
    <t xml:space="preserve">Total Capital includes Common Equity and Total Liability.</t>
  </si>
  <si>
    <t xml:space="preserve">Valuation Multiples based on Current Capitalization</t>
  </si>
  <si>
    <t xml:space="preserve">LTM
12 months
Sep-30-2014A</t>
  </si>
  <si>
    <t xml:space="preserve">TEV/Total Revenue</t>
  </si>
  <si>
    <t xml:space="preserve">TEV/EBITDA</t>
  </si>
  <si>
    <t xml:space="preserve">TEV/EBIT</t>
  </si>
  <si>
    <t xml:space="preserve">P/Diluted EPS Before Extra</t>
  </si>
  <si>
    <t xml:space="preserve">P/BV</t>
  </si>
  <si>
    <t xml:space="preserve">Price/Tang BV</t>
  </si>
  <si>
    <t xml:space="preserve">
               </t>
  </si>
  <si>
    <t xml:space="preserve">Dynacast International Inc. &gt; Financials &gt; Income Statement</t>
  </si>
  <si>
    <t xml:space="preserve">In Millions of the reported currency, except per share items.</t>
  </si>
  <si>
    <t xml:space="preserve">Template:</t>
  </si>
  <si>
    <t xml:space="preserve">Standard</t>
  </si>
  <si>
    <t xml:space="preserve">Restatement:</t>
  </si>
  <si>
    <t xml:space="preserve">Latest Filings</t>
  </si>
  <si>
    <t xml:space="preserve">Period Type:</t>
  </si>
  <si>
    <t xml:space="preserve">Annual</t>
  </si>
  <si>
    <t xml:space="preserve">Reported Currency</t>
  </si>
  <si>
    <t xml:space="preserve">Source:</t>
  </si>
  <si>
    <t xml:space="preserve">Capital IQ &amp; Proprietary Data</t>
  </si>
  <si>
    <t xml:space="preserve">Income Statement</t>
  </si>
  <si>
    <t xml:space="preserve">12 months
Dec-31-2009</t>
  </si>
  <si>
    <t xml:space="preserve">Reclassified
12 months
Dec-31-2010</t>
  </si>
  <si>
    <t xml:space="preserve">Restated
12 months
Dec-31-2011</t>
  </si>
  <si>
    <t xml:space="preserve">Reclassified
12 months
Dec-31-2012</t>
  </si>
  <si>
    <t xml:space="preserve">12 months
Dec-31-2013</t>
  </si>
  <si>
    <t xml:space="preserve">LTM
12 months
Sep-30-2014</t>
  </si>
  <si>
    <t xml:space="preserve"> </t>
  </si>
  <si>
    <t xml:space="preserve">Other Revenue</t>
  </si>
  <si>
    <t xml:space="preserve">  Total Revenue</t>
  </si>
  <si>
    <t xml:space="preserve">Cost Of Goods Sold</t>
  </si>
  <si>
    <t xml:space="preserve">  Gross Profit</t>
  </si>
  <si>
    <t xml:space="preserve">Selling General &amp; Admin Exp.</t>
  </si>
  <si>
    <t xml:space="preserve">R &amp; D Exp.</t>
  </si>
  <si>
    <t xml:space="preserve">Depreciation &amp; Amort.</t>
  </si>
  <si>
    <t xml:space="preserve">Other Operating Expense/(Income)</t>
  </si>
  <si>
    <t xml:space="preserve">  Other Operating Exp., Total</t>
  </si>
  <si>
    <t xml:space="preserve">  Operating Income</t>
  </si>
  <si>
    <t xml:space="preserve">Interest Expense</t>
  </si>
  <si>
    <t xml:space="preserve">Interest and Invest. Income</t>
  </si>
  <si>
    <t xml:space="preserve">  Net Interest Exp.</t>
  </si>
  <si>
    <t xml:space="preserve">Currency Exchange Gains (Loss)</t>
  </si>
  <si>
    <t xml:space="preserve">Other Non-Operating Inc. (Exp.)</t>
  </si>
  <si>
    <t xml:space="preserve">  EBT Excl. Unusual Items</t>
  </si>
  <si>
    <t xml:space="preserve">Restructuring Charges</t>
  </si>
  <si>
    <t xml:space="preserve">Merger &amp; Related Restruct. Charges</t>
  </si>
  <si>
    <t xml:space="preserve">Impairment of Goodwill</t>
  </si>
  <si>
    <t xml:space="preserve">Insurance Settlements</t>
  </si>
  <si>
    <t xml:space="preserve">Other Unusual Items</t>
  </si>
  <si>
    <t xml:space="preserve">  EBT Incl. Unusual Items</t>
  </si>
  <si>
    <t xml:space="preserve">  Earnings from Cont. Ops.</t>
  </si>
  <si>
    <t xml:space="preserve">Earnings of Discontinued Ops.</t>
  </si>
  <si>
    <t xml:space="preserve">Extraord. Item &amp; Account. Change</t>
  </si>
  <si>
    <t xml:space="preserve">  Net Income to Company</t>
  </si>
  <si>
    <t xml:space="preserve">Minority Int. in Earnings</t>
  </si>
  <si>
    <t xml:space="preserve">  Net Income</t>
  </si>
  <si>
    <t xml:space="preserve">Pref. Dividends and Other Adj.</t>
  </si>
  <si>
    <t xml:space="preserve">  NI to Common Incl Extra Items</t>
  </si>
  <si>
    <t xml:space="preserve">  NI to Common Excl. Extra Items</t>
  </si>
  <si>
    <t xml:space="preserve">Per Share Items</t>
  </si>
  <si>
    <t xml:space="preserve">Basic EPS</t>
  </si>
  <si>
    <t xml:space="preserve">Basic EPS Excl. Extra Items</t>
  </si>
  <si>
    <t xml:space="preserve">Weighted Avg. Basic Shares Out.</t>
  </si>
  <si>
    <t xml:space="preserve">Diluted EPS</t>
  </si>
  <si>
    <t xml:space="preserve">Diluted EPS Excl. Extra Items</t>
  </si>
  <si>
    <t xml:space="preserve">Weighted Avg. Diluted Shares Out.</t>
  </si>
  <si>
    <t xml:space="preserve">Normalized Basic EPS</t>
  </si>
  <si>
    <t xml:space="preserve">Normalized Diluted EPS</t>
  </si>
  <si>
    <t xml:space="preserve">Dividends per Share</t>
  </si>
  <si>
    <t xml:space="preserve">Payout Ratio %</t>
  </si>
  <si>
    <t xml:space="preserve">Supplemental Items</t>
  </si>
  <si>
    <t xml:space="preserve">EBITA</t>
  </si>
  <si>
    <t xml:space="preserve">EBITDAR</t>
  </si>
  <si>
    <t xml:space="preserve">Effective Tax Rate %</t>
  </si>
  <si>
    <t xml:space="preserve">Current Domestic Taxes</t>
  </si>
  <si>
    <t xml:space="preserve">Current Foreign Taxes</t>
  </si>
  <si>
    <t xml:space="preserve">Total Current Taxes</t>
  </si>
  <si>
    <t xml:space="preserve">Deferred Domestic Taxes</t>
  </si>
  <si>
    <t xml:space="preserve">Deferred Foreign Taxes</t>
  </si>
  <si>
    <t xml:space="preserve">Total Deferred Taxes</t>
  </si>
  <si>
    <t xml:space="preserve">Normalized Net Income</t>
  </si>
  <si>
    <t xml:space="preserve">Interest on Long Term Debt</t>
  </si>
  <si>
    <t xml:space="preserve">Non-Cash Pension Expense</t>
  </si>
  <si>
    <t xml:space="preserve">Filing Date</t>
  </si>
  <si>
    <t xml:space="preserve">Restatement Type</t>
  </si>
  <si>
    <t xml:space="preserve">NCA</t>
  </si>
  <si>
    <t xml:space="preserve">RC</t>
  </si>
  <si>
    <t xml:space="preserve">RS</t>
  </si>
  <si>
    <t xml:space="preserve">O</t>
  </si>
  <si>
    <t xml:space="preserve">Calculation Type</t>
  </si>
  <si>
    <t xml:space="preserve">REP</t>
  </si>
  <si>
    <t xml:space="preserve">LTM</t>
  </si>
  <si>
    <t xml:space="preserve">Supplemental Operating Expense Items</t>
  </si>
  <si>
    <t xml:space="preserve">General and Administrative Exp.</t>
  </si>
  <si>
    <t xml:space="preserve">R&amp;D Exp.</t>
  </si>
  <si>
    <t xml:space="preserve">Net Rental Exp.</t>
  </si>
  <si>
    <t xml:space="preserve">Imputed Oper. Lease Interest Exp.</t>
  </si>
  <si>
    <t xml:space="preserve">Imputed Oper. Lease Depreciation</t>
  </si>
  <si>
    <t xml:space="preserve">Note: For multiple class companies, per share items are primary class equivalent, and for foreign companies listed as primary ADRs, per share items are ADR-equivalent.</t>
  </si>
  <si>
    <t xml:space="preserve">Dynacast International Inc. &gt; Financials &gt; Balance Sheet</t>
  </si>
  <si>
    <t xml:space="preserve">Balance Sheet</t>
  </si>
  <si>
    <t xml:space="preserve">Balance Sheet as of:
</t>
  </si>
  <si>
    <t xml:space="preserve">Restated
Dec-31-2012</t>
  </si>
  <si>
    <t xml:space="preserve">ASSETS</t>
  </si>
  <si>
    <t xml:space="preserve">Cash And Equivalents</t>
  </si>
  <si>
    <t xml:space="preserve">  Total Cash &amp; ST Investments</t>
  </si>
  <si>
    <t xml:space="preserve">NWC Build</t>
  </si>
  <si>
    <t xml:space="preserve">FYE Dec 2013</t>
  </si>
  <si>
    <t xml:space="preserve">LTM Sep 2014</t>
  </si>
  <si>
    <t xml:space="preserve">Accounts Receivable</t>
  </si>
  <si>
    <t xml:space="preserve">CA</t>
  </si>
  <si>
    <t xml:space="preserve">Other Receivables</t>
  </si>
  <si>
    <t xml:space="preserve">CL</t>
  </si>
  <si>
    <t xml:space="preserve">  Total Receivables</t>
  </si>
  <si>
    <t xml:space="preserve">NWC</t>
  </si>
  <si>
    <t xml:space="preserve">Net Change</t>
  </si>
  <si>
    <t xml:space="preserve">Inventory</t>
  </si>
  <si>
    <t xml:space="preserve">Prepaid Exp.</t>
  </si>
  <si>
    <t xml:space="preserve">Deferred Tax Assets, Curr.</t>
  </si>
  <si>
    <t xml:space="preserve">Other Current Assets</t>
  </si>
  <si>
    <t xml:space="preserve">  Total Current Assets</t>
  </si>
  <si>
    <t xml:space="preserve">Gross Property, Plant &amp; Equipment</t>
  </si>
  <si>
    <t xml:space="preserve">Accumulated Depreciation</t>
  </si>
  <si>
    <t xml:space="preserve">  Net Property, Plant &amp; Equipment</t>
  </si>
  <si>
    <t xml:space="preserve">Goodwill</t>
  </si>
  <si>
    <t xml:space="preserve">Other Intangibles</t>
  </si>
  <si>
    <t xml:space="preserve">Deferred Tax Assets, LT</t>
  </si>
  <si>
    <t xml:space="preserve">Deferred Charges, LT</t>
  </si>
  <si>
    <t xml:space="preserve">Other Long-Term Assets</t>
  </si>
  <si>
    <t xml:space="preserve">Total Assets</t>
  </si>
  <si>
    <t xml:space="preserve">LIABILITIES</t>
  </si>
  <si>
    <t xml:space="preserve">Accounts Payable</t>
  </si>
  <si>
    <t xml:space="preserve">Accrued Exp.</t>
  </si>
  <si>
    <t xml:space="preserve">Curr. Port. of LT Debt</t>
  </si>
  <si>
    <t xml:space="preserve">Curr. Income Taxes Payable</t>
  </si>
  <si>
    <t xml:space="preserve">Unearned Revenue, Current</t>
  </si>
  <si>
    <t xml:space="preserve">Def. Tax Liability, Curr.</t>
  </si>
  <si>
    <t xml:space="preserve">Other Current Liabilities</t>
  </si>
  <si>
    <t xml:space="preserve">  Total Current Liabilities</t>
  </si>
  <si>
    <t xml:space="preserve">Long-Term Debt</t>
  </si>
  <si>
    <t xml:space="preserve">Pension &amp; Other Post-Retire. Benefits</t>
  </si>
  <si>
    <t xml:space="preserve">Def. Tax Liability, Non-Curr.</t>
  </si>
  <si>
    <t xml:space="preserve">Other Non-Current Liabilities</t>
  </si>
  <si>
    <t xml:space="preserve">Total Liabilities</t>
  </si>
  <si>
    <t xml:space="preserve">Pref. Stock, Convertible</t>
  </si>
  <si>
    <t xml:space="preserve">  Total Pref. Equity</t>
  </si>
  <si>
    <t xml:space="preserve">Common Stock</t>
  </si>
  <si>
    <t xml:space="preserve">Additional Paid In Capital</t>
  </si>
  <si>
    <t xml:space="preserve">Retained Earnings</t>
  </si>
  <si>
    <t xml:space="preserve">Treasury Stock</t>
  </si>
  <si>
    <t xml:space="preserve">Comprehensive Inc. and Other</t>
  </si>
  <si>
    <t xml:space="preserve">  Total Common Equity</t>
  </si>
  <si>
    <t xml:space="preserve">Minority Interest</t>
  </si>
  <si>
    <t xml:space="preserve">Total Equity</t>
  </si>
  <si>
    <t xml:space="preserve">Total Liabilities And Equity</t>
  </si>
  <si>
    <t xml:space="preserve">Total Shares Out. on Filing Date</t>
  </si>
  <si>
    <t xml:space="preserve">Total Shares Out. on Balance Sheet Date</t>
  </si>
  <si>
    <t xml:space="preserve">Book Value/Share</t>
  </si>
  <si>
    <t xml:space="preserve">Tangible Book Value</t>
  </si>
  <si>
    <t xml:space="preserve">Tangible Book Value/Share</t>
  </si>
  <si>
    <t xml:space="preserve">Total Debt</t>
  </si>
  <si>
    <t xml:space="preserve">Net Debt</t>
  </si>
  <si>
    <t xml:space="preserve">Debt Equiv. of Unfunded Proj. Benefit Obligation</t>
  </si>
  <si>
    <t xml:space="preserve">Debt Equivalent Oper. Leases</t>
  </si>
  <si>
    <t xml:space="preserve">Total Minority Interest</t>
  </si>
  <si>
    <t xml:space="preserve">Inventory Method</t>
  </si>
  <si>
    <t xml:space="preserve">Avg Cost</t>
  </si>
  <si>
    <t xml:space="preserve">LIFO</t>
  </si>
  <si>
    <t xml:space="preserve">LIFO Reserve</t>
  </si>
  <si>
    <t xml:space="preserve">Raw Materials Inventory</t>
  </si>
  <si>
    <t xml:space="preserve">Work in Progress Inventory</t>
  </si>
  <si>
    <t xml:space="preserve">Finished Goods Inventory</t>
  </si>
  <si>
    <t xml:space="preserve">Land</t>
  </si>
  <si>
    <t xml:space="preserve">Machinery</t>
  </si>
  <si>
    <t xml:space="preserve">Construction in Progress</t>
  </si>
  <si>
    <t xml:space="preserve">Full Time Employees</t>
  </si>
  <si>
    <t xml:space="preserve">Accum. Allowance for Doubtful Accts</t>
  </si>
  <si>
    <t xml:space="preserve">NC</t>
  </si>
  <si>
    <t xml:space="preserve">RUP</t>
  </si>
  <si>
    <t xml:space="preserve">Note: For multiple class companies, total share counts are primary class equivalent, and for foreign companies listed as primary ADRs, total share counts are ADR-equivalent.</t>
  </si>
  <si>
    <t xml:space="preserve">Dynacast International Inc. &gt; Financials &gt; Cash Flow</t>
  </si>
  <si>
    <t xml:space="preserve">Cash Flow</t>
  </si>
  <si>
    <t xml:space="preserve">12 months
Dec-31-2010</t>
  </si>
  <si>
    <t xml:space="preserve">12 months
Dec-31-2012</t>
  </si>
  <si>
    <t xml:space="preserve">Amort. of Goodwill and Intangibles</t>
  </si>
  <si>
    <t xml:space="preserve">Depreciation &amp; Amort., Total</t>
  </si>
  <si>
    <t xml:space="preserve">Other Amortization</t>
  </si>
  <si>
    <t xml:space="preserve">Other Operating Activities</t>
  </si>
  <si>
    <t xml:space="preserve">Change in Acc. Receivable</t>
  </si>
  <si>
    <t xml:space="preserve">Change In Inventories</t>
  </si>
  <si>
    <t xml:space="preserve">Change in Acc. Payable</t>
  </si>
  <si>
    <t xml:space="preserve">Change in Inc. Taxes</t>
  </si>
  <si>
    <t xml:space="preserve">Change in Other Net Operating Assets</t>
  </si>
  <si>
    <t xml:space="preserve">  Cash from Ops.</t>
  </si>
  <si>
    <t xml:space="preserve">Capital Expenditure</t>
  </si>
  <si>
    <t xml:space="preserve">Cash Acquisitions</t>
  </si>
  <si>
    <t xml:space="preserve">Divestitures</t>
  </si>
  <si>
    <t xml:space="preserve">Invest. in Marketable &amp; Equity Securt.</t>
  </si>
  <si>
    <t xml:space="preserve">Net (Inc.) Dec. in Loans Originated/Sold</t>
  </si>
  <si>
    <t xml:space="preserve">Other Investing Activities</t>
  </si>
  <si>
    <t xml:space="preserve">  Cash from Investing</t>
  </si>
  <si>
    <t xml:space="preserve">Short Term Debt Issued</t>
  </si>
  <si>
    <t xml:space="preserve">Long-Term Debt Issued</t>
  </si>
  <si>
    <t xml:space="preserve">Total Debt Issued</t>
  </si>
  <si>
    <t xml:space="preserve">Short Term Debt Repaid</t>
  </si>
  <si>
    <t xml:space="preserve">Long-Term Debt Repaid</t>
  </si>
  <si>
    <t xml:space="preserve">Total Debt Repaid</t>
  </si>
  <si>
    <t xml:space="preserve">Issuance of Common Stock</t>
  </si>
  <si>
    <t xml:space="preserve">Issuance of Pref. Stock</t>
  </si>
  <si>
    <t xml:space="preserve">Pref. Dividends Paid</t>
  </si>
  <si>
    <t xml:space="preserve">Common and/or Pref. Dividends Paid</t>
  </si>
  <si>
    <t xml:space="preserve">Total Dividends Paid</t>
  </si>
  <si>
    <t xml:space="preserve">Special Dividend Paid</t>
  </si>
  <si>
    <t xml:space="preserve">Other Financing Activities</t>
  </si>
  <si>
    <t xml:space="preserve">  Cash from Financing</t>
  </si>
  <si>
    <t xml:space="preserve">Foreign Exchange Rate Adj.</t>
  </si>
  <si>
    <t xml:space="preserve">  Net Change in Cash</t>
  </si>
  <si>
    <t xml:space="preserve">Cash Interest Paid</t>
  </si>
  <si>
    <t xml:space="preserve">Cash Taxes Paid</t>
  </si>
  <si>
    <t xml:space="preserve">Levered Free Cash Flow</t>
  </si>
  <si>
    <t xml:space="preserve">Unlevered Free Cash Flow</t>
  </si>
  <si>
    <t xml:space="preserve">Change in Net Working Capital</t>
  </si>
  <si>
    <t xml:space="preserve">Net Debt Issued</t>
  </si>
  <si>
    <t xml:space="preserve">Dynacast International Inc. &gt; Financials &gt; Capital Structure Summary</t>
  </si>
  <si>
    <t xml:space="preserve">In Millions of the reported currency, except ratios and % of Total values.</t>
  </si>
  <si>
    <t xml:space="preserve">Capital Structure Data</t>
  </si>
  <si>
    <t xml:space="preserve"> For the Fiscal Period Ending
</t>
  </si>
  <si>
    <t xml:space="preserve"> 12 months Dec-31-2012</t>
  </si>
  <si>
    <t xml:space="preserve"> 12 months Dec-31-2013</t>
  </si>
  <si>
    <t xml:space="preserve"> 3 months Sep-30-2014</t>
  </si>
  <si>
    <t xml:space="preserve"> Currency</t>
  </si>
  <si>
    <t xml:space="preserve"> USD</t>
  </si>
  <si>
    <t xml:space="preserve"> Units</t>
  </si>
  <si>
    <t xml:space="preserve"> Millions</t>
  </si>
  <si>
    <t xml:space="preserve">% of Total</t>
  </si>
  <si>
    <t xml:space="preserve">Total Common Equity</t>
  </si>
  <si>
    <t xml:space="preserve">  Total Capital</t>
  </si>
  <si>
    <t xml:space="preserve">Exchange Rate</t>
  </si>
  <si>
    <t xml:space="preserve">Conversion Method</t>
  </si>
  <si>
    <t xml:space="preserve">S</t>
  </si>
  <si>
    <t xml:space="preserve">Debt Summary Data</t>
  </si>
  <si>
    <t xml:space="preserve">Total Revolving Credit</t>
  </si>
  <si>
    <t xml:space="preserve">Total Term Loans</t>
  </si>
  <si>
    <t xml:space="preserve">Total Senior Bonds and Notes</t>
  </si>
  <si>
    <t xml:space="preserve">General/Other Borrowings</t>
  </si>
  <si>
    <t xml:space="preserve">  Total Principal Due</t>
  </si>
  <si>
    <t xml:space="preserve">  Total Debt Outstanding</t>
  </si>
  <si>
    <t xml:space="preserve">Available Credit</t>
  </si>
  <si>
    <t xml:space="preserve">Undrawn Revolving Credit</t>
  </si>
  <si>
    <t xml:space="preserve">  Total Undrawn Credit</t>
  </si>
  <si>
    <t xml:space="preserve">Additional Totals</t>
  </si>
  <si>
    <t xml:space="preserve">Total Cash &amp; ST Investments</t>
  </si>
  <si>
    <t xml:space="preserve">Total Senior Debt</t>
  </si>
  <si>
    <t xml:space="preserve">Total Convertible Debt</t>
  </si>
  <si>
    <t xml:space="preserve">Curr. Port. of LT Debt/Cap. Leases</t>
  </si>
  <si>
    <t xml:space="preserve">Long-Term Debt (Incl. Cap. Leases)</t>
  </si>
  <si>
    <t xml:space="preserve">Total Bank Debt</t>
  </si>
  <si>
    <t xml:space="preserve">Total Secured Debt</t>
  </si>
  <si>
    <t xml:space="preserve">Senior Secured Loans</t>
  </si>
  <si>
    <t xml:space="preserve">Senior Secured Bonds and Notes</t>
  </si>
  <si>
    <t xml:space="preserve">Total Senior Secured Debt</t>
  </si>
  <si>
    <t xml:space="preserve">Total Unsecured Debt</t>
  </si>
  <si>
    <t xml:space="preserve">Second Lien Bonds and Notes</t>
  </si>
  <si>
    <t xml:space="preserve">Second Lien Debt</t>
  </si>
  <si>
    <t xml:space="preserve">Fixed Rate Debt</t>
  </si>
  <si>
    <t xml:space="preserve">Variable Rate Debt</t>
  </si>
  <si>
    <t xml:space="preserve">Credit Ratios</t>
  </si>
  <si>
    <t xml:space="preserve">Net Debt/EBITDA</t>
  </si>
  <si>
    <t xml:space="preserve">Total Debt/EBITDA</t>
  </si>
  <si>
    <t xml:space="preserve">Total Senior Debt/EBITDA</t>
  </si>
  <si>
    <t xml:space="preserve">Total Senior Secured/EBITDA</t>
  </si>
  <si>
    <t xml:space="preserve">Net Debt/(EBITDA-CAPEX)</t>
  </si>
  <si>
    <t xml:space="preserve">Total Debt/(EBITDA-CAPEX)</t>
  </si>
  <si>
    <t xml:space="preserve">Total Senior Debt/(EBITDA-CAPEX)</t>
  </si>
  <si>
    <t xml:space="preserve">Total Senior Secured/(EBITDA-CAPEX)</t>
  </si>
  <si>
    <t xml:space="preserve">Fixed Payment Schedule</t>
  </si>
  <si>
    <t xml:space="preserve">LT Debt (Incl. Cap. Leases) Due +1</t>
  </si>
  <si>
    <t xml:space="preserve">LT Debt (Incl. Cap. Leases) Due +2</t>
  </si>
  <si>
    <t xml:space="preserve">LT Debt (Incl. Cap. Leases) Due +3</t>
  </si>
  <si>
    <t xml:space="preserve">LT Debt (Incl. Cap. Leases) Due +4</t>
  </si>
  <si>
    <t xml:space="preserve">LT Debt (Incl. Cap. Leases) Due +5</t>
  </si>
  <si>
    <t xml:space="preserve">LT Debt (Incl. Cap. Leases) Due, Next 5 Yrs</t>
  </si>
  <si>
    <t xml:space="preserve">LT Debt (Incl. Cap. Leases) Due, After 5 Yrs</t>
  </si>
  <si>
    <t xml:space="preserve">Operating Lease Commitment Due +1</t>
  </si>
  <si>
    <t xml:space="preserve">Operating Lease Commitment Due +2</t>
  </si>
  <si>
    <t xml:space="preserve">Operating Lease Commitment Due +3</t>
  </si>
  <si>
    <t xml:space="preserve">Operating Lease Commitment Due +4</t>
  </si>
  <si>
    <t xml:space="preserve">Operating Lease Commitment Due +5</t>
  </si>
  <si>
    <t xml:space="preserve">Operating Lease Commitment Due, Next 5 Yrs</t>
  </si>
  <si>
    <t xml:space="preserve">Operating Lease Commitment Due, After 5 Yrs</t>
  </si>
  <si>
    <t xml:space="preserve">Contractual Obligations Due +1</t>
  </si>
  <si>
    <t xml:space="preserve">Contractual Obligations Due + 2</t>
  </si>
  <si>
    <t xml:space="preserve">Contractual Obligations Due + 3</t>
  </si>
  <si>
    <t xml:space="preserve">Contractual Obligations Due + 4</t>
  </si>
  <si>
    <t xml:space="preserve">Contractual Obligations Due + 5</t>
  </si>
  <si>
    <t xml:space="preserve">Contractual Obligations Due, Next 5 Yrs</t>
  </si>
  <si>
    <t xml:space="preserve">Contractual Obligations Due, After 5 Yrs</t>
  </si>
  <si>
    <t xml:space="preserve">Total Contractual Obligations</t>
  </si>
  <si>
    <t xml:space="preserve">Interest Rate Data</t>
  </si>
  <si>
    <t xml:space="preserve">Quick Approx IRRs</t>
  </si>
  <si>
    <t xml:space="preserve">TIME</t>
  </si>
</sst>
</file>

<file path=xl/styles.xml><?xml version="1.0" encoding="utf-8"?>
<styleSheet xmlns="http://schemas.openxmlformats.org/spreadsheetml/2006/main">
  <numFmts count="27">
    <numFmt numFmtId="164" formatCode="General"/>
    <numFmt numFmtId="165" formatCode="#,##0_);\(#,##0\)"/>
    <numFmt numFmtId="166" formatCode="0.00%"/>
    <numFmt numFmtId="167" formatCode="0.0\x"/>
    <numFmt numFmtId="168" formatCode="\$#,##0"/>
    <numFmt numFmtId="169" formatCode="0&quot; Years&quot;"/>
    <numFmt numFmtId="170" formatCode="0.00\x"/>
    <numFmt numFmtId="171" formatCode="0.0%"/>
    <numFmt numFmtId="172" formatCode="m/d/yyyy"/>
    <numFmt numFmtId="173" formatCode="#,##0"/>
    <numFmt numFmtId="174" formatCode="0"/>
    <numFmt numFmtId="175" formatCode="General"/>
    <numFmt numFmtId="176" formatCode="0%"/>
    <numFmt numFmtId="177" formatCode="#,##0.00"/>
    <numFmt numFmtId="178" formatCode="#,##0.0;\(#,##0.0\)"/>
    <numFmt numFmtId="179" formatCode="@"/>
    <numFmt numFmtId="180" formatCode="0.00\x"/>
    <numFmt numFmtId="181" formatCode="_(* #,##0.0_);_(* \(#,##0.0\)_)\ ;_(* 0_)"/>
    <numFmt numFmtId="182" formatCode="_(#,##0.0%_);_(\(#,##0.0%\)_);_(#,##0.0%_)"/>
    <numFmt numFmtId="183" formatCode="_(* #,##0.0#_);_(* \(#,##0.0#\)_)\ ;_(* 0_)"/>
    <numFmt numFmtId="184" formatCode="_(\$#,##0.0#_);_(&quot;($&quot;#,##0.0#\)_);_(&quot;$ - &quot;_)"/>
    <numFmt numFmtId="185" formatCode="mmm\-dd\-yyyy"/>
    <numFmt numFmtId="186" formatCode="\$#,##0.00"/>
    <numFmt numFmtId="187" formatCode="_(* #,##0_);_(* \(#,##0\)_)\ ;_(* 0_)"/>
    <numFmt numFmtId="188" formatCode="_(#,##0.00#%_);_(\(#,##0.00#%\)_);_(#,##0.00#%_)"/>
    <numFmt numFmtId="189" formatCode="#,##0.0\x"/>
    <numFmt numFmtId="190" formatCode="0&quot; years&quot;"/>
  </numFmts>
  <fonts count="38">
    <font>
      <sz val="11"/>
      <color theme="1"/>
      <name val="Calibri"/>
      <family val="2"/>
      <charset val="1"/>
    </font>
    <font>
      <sz val="10"/>
      <name val="Arial"/>
      <family val="0"/>
    </font>
    <font>
      <sz val="10"/>
      <name val="Arial"/>
      <family val="0"/>
    </font>
    <font>
      <sz val="10"/>
      <name val="Arial"/>
      <family val="0"/>
    </font>
    <font>
      <sz val="1"/>
      <color rgb="FFFFFFFF"/>
      <name val="Symbol"/>
      <family val="1"/>
      <charset val="2"/>
    </font>
    <font>
      <sz val="10"/>
      <name val="Arial"/>
      <family val="2"/>
      <charset val="1"/>
    </font>
    <font>
      <sz val="11"/>
      <color theme="1"/>
      <name val="Arial"/>
      <family val="2"/>
      <charset val="1"/>
    </font>
    <font>
      <sz val="10"/>
      <color theme="1"/>
      <name val="Arial"/>
      <family val="2"/>
      <charset val="1"/>
    </font>
    <font>
      <sz val="10"/>
      <color rgb="FF0000FF"/>
      <name val="Arial"/>
      <family val="2"/>
      <charset val="1"/>
    </font>
    <font>
      <b val="true"/>
      <sz val="10"/>
      <color theme="0"/>
      <name val="Arial"/>
      <family val="2"/>
      <charset val="1"/>
    </font>
    <font>
      <u val="single"/>
      <sz val="11"/>
      <color theme="1"/>
      <name val="Arial"/>
      <family val="2"/>
      <charset val="1"/>
    </font>
    <font>
      <sz val="11"/>
      <color rgb="FF0000FF"/>
      <name val="Arial"/>
      <family val="2"/>
      <charset val="1"/>
    </font>
    <font>
      <u val="single"/>
      <sz val="10"/>
      <color theme="1"/>
      <name val="Arial"/>
      <family val="2"/>
      <charset val="1"/>
    </font>
    <font>
      <sz val="10"/>
      <color theme="0"/>
      <name val="Arial"/>
      <family val="2"/>
      <charset val="1"/>
    </font>
    <font>
      <i val="true"/>
      <sz val="10"/>
      <color theme="1"/>
      <name val="Arial"/>
      <family val="2"/>
      <charset val="1"/>
    </font>
    <font>
      <i val="true"/>
      <sz val="10"/>
      <color rgb="FF0000FF"/>
      <name val="Arial"/>
      <family val="2"/>
      <charset val="1"/>
    </font>
    <font>
      <i val="true"/>
      <sz val="10"/>
      <name val="Arial"/>
      <family val="2"/>
      <charset val="1"/>
    </font>
    <font>
      <b val="true"/>
      <sz val="10"/>
      <color theme="1"/>
      <name val="Arial"/>
      <family val="2"/>
      <charset val="1"/>
    </font>
    <font>
      <b val="true"/>
      <sz val="11"/>
      <color theme="1"/>
      <name val="Arial"/>
      <family val="2"/>
      <charset val="1"/>
    </font>
    <font>
      <sz val="9"/>
      <name val="Arial"/>
      <family val="2"/>
      <charset val="1"/>
    </font>
    <font>
      <b val="true"/>
      <sz val="9"/>
      <color rgb="FF0000FF"/>
      <name val="Arial"/>
      <family val="2"/>
      <charset val="1"/>
    </font>
    <font>
      <sz val="9"/>
      <color theme="1"/>
      <name val="Arial"/>
      <family val="2"/>
      <charset val="1"/>
    </font>
    <font>
      <sz val="10"/>
      <name val="Arial"/>
      <family val="2"/>
    </font>
    <font>
      <b val="true"/>
      <sz val="11"/>
      <color theme="1"/>
      <name val="Calibri"/>
      <family val="2"/>
      <charset val="1"/>
    </font>
    <font>
      <sz val="11"/>
      <color theme="1"/>
      <name val="Calibri"/>
      <family val="2"/>
      <charset val="1"/>
    </font>
    <font>
      <sz val="8"/>
      <name val="Arial"/>
      <family val="2"/>
      <charset val="1"/>
    </font>
    <font>
      <b val="true"/>
      <sz val="13"/>
      <color rgb="FF000000"/>
      <name val="Verdana"/>
      <family val="2"/>
      <charset val="1"/>
    </font>
    <font>
      <i val="true"/>
      <sz val="8"/>
      <name val="Arial"/>
      <family val="2"/>
      <charset val="1"/>
    </font>
    <font>
      <b val="true"/>
      <sz val="8"/>
      <name val="Arial"/>
      <family val="2"/>
      <charset val="1"/>
    </font>
    <font>
      <sz val="8"/>
      <color rgb="FF000000"/>
      <name val="Arial"/>
      <family val="2"/>
      <charset val="1"/>
    </font>
    <font>
      <b val="true"/>
      <sz val="8"/>
      <color rgb="FFFFFFFF"/>
      <name val="Verdana"/>
      <family val="2"/>
      <charset val="1"/>
    </font>
    <font>
      <b val="true"/>
      <sz val="8"/>
      <color rgb="FF000000"/>
      <name val="Arial"/>
      <family val="2"/>
      <charset val="1"/>
    </font>
    <font>
      <b val="true"/>
      <i val="true"/>
      <sz val="8"/>
      <color rgb="FF000000"/>
      <name val="Arial"/>
      <family val="2"/>
      <charset val="1"/>
    </font>
    <font>
      <i val="true"/>
      <sz val="8"/>
      <color rgb="FF000000"/>
      <name val="Arial"/>
      <family val="2"/>
      <charset val="1"/>
    </font>
    <font>
      <b val="true"/>
      <u val="double"/>
      <sz val="8"/>
      <color rgb="FF000000"/>
      <name val="Arial"/>
      <family val="2"/>
      <charset val="1"/>
    </font>
    <font>
      <b val="true"/>
      <u val="single"/>
      <sz val="8"/>
      <name val="Arial"/>
      <family val="2"/>
      <charset val="1"/>
    </font>
    <font>
      <b val="true"/>
      <u val="single"/>
      <sz val="8"/>
      <color rgb="FF000000"/>
      <name val="Arial"/>
      <family val="2"/>
      <charset val="1"/>
    </font>
    <font>
      <b val="true"/>
      <i val="true"/>
      <sz val="8"/>
      <name val="Arial"/>
      <family val="2"/>
      <charset val="1"/>
    </font>
  </fonts>
  <fills count="12">
    <fill>
      <patternFill patternType="none"/>
    </fill>
    <fill>
      <patternFill patternType="gray125"/>
    </fill>
    <fill>
      <patternFill patternType="solid">
        <fgColor rgb="FFFFFFCC"/>
        <bgColor rgb="FFFFF2CC"/>
      </patternFill>
    </fill>
    <fill>
      <patternFill patternType="solid">
        <fgColor rgb="FF1F497D"/>
        <bgColor rgb="FF003366"/>
      </patternFill>
    </fill>
    <fill>
      <patternFill patternType="solid">
        <fgColor rgb="FFFFFF00"/>
        <bgColor rgb="FFFFFF00"/>
      </patternFill>
    </fill>
    <fill>
      <patternFill patternType="solid">
        <fgColor theme="7" tint="0.7999"/>
        <bgColor rgb="FFFFFFCC"/>
      </patternFill>
    </fill>
    <fill>
      <patternFill patternType="solid">
        <fgColor theme="0"/>
        <bgColor rgb="FFFFFFCC"/>
      </patternFill>
    </fill>
    <fill>
      <patternFill patternType="solid">
        <fgColor rgb="FFFFFF99"/>
        <bgColor rgb="FFFFFFCC"/>
      </patternFill>
    </fill>
    <fill>
      <patternFill patternType="solid">
        <fgColor rgb="FF003366"/>
        <bgColor rgb="FF1F497D"/>
      </patternFill>
    </fill>
    <fill>
      <patternFill patternType="solid">
        <fgColor theme="0" tint="-0.25"/>
        <bgColor rgb="FFCCCCFF"/>
      </patternFill>
    </fill>
    <fill>
      <patternFill patternType="solid">
        <fgColor rgb="FF993300"/>
        <bgColor rgb="FF993366"/>
      </patternFill>
    </fill>
    <fill>
      <patternFill patternType="solid">
        <fgColor theme="2"/>
        <bgColor rgb="FFFFF2CC"/>
      </patternFill>
    </fill>
  </fills>
  <borders count="14">
    <border diagonalUp="false" diagonalDown="false">
      <left/>
      <right/>
      <top/>
      <bottom/>
      <diagonal/>
    </border>
    <border diagonalUp="false" diagonalDown="false">
      <left/>
      <right/>
      <top/>
      <bottom style="thin"/>
      <diagonal/>
    </border>
    <border diagonalUp="false" diagonalDown="false">
      <left style="thin"/>
      <right/>
      <top style="thin"/>
      <bottom/>
      <diagonal/>
    </border>
    <border diagonalUp="false" diagonalDown="false">
      <left style="thin"/>
      <right/>
      <top/>
      <bottom/>
      <diagonal/>
    </border>
    <border diagonalUp="false" diagonalDown="false">
      <left style="thin"/>
      <right/>
      <top/>
      <bottom style="thin"/>
      <diagonal/>
    </border>
    <border diagonalUp="false" diagonalDown="false">
      <left/>
      <right/>
      <top style="thin"/>
      <bottom/>
      <diagonal/>
    </border>
    <border diagonalUp="false" diagonalDown="false">
      <left/>
      <right style="thin"/>
      <top style="thin"/>
      <bottom/>
      <diagonal/>
    </border>
    <border diagonalUp="false" diagonalDown="false">
      <left/>
      <right style="thin"/>
      <top/>
      <bottom style="thin"/>
      <diagonal/>
    </border>
    <border diagonalUp="false" diagonalDown="false">
      <left style="medium"/>
      <right/>
      <top style="medium"/>
      <bottom/>
      <diagonal/>
    </border>
    <border diagonalUp="false" diagonalDown="false">
      <left/>
      <right style="medium"/>
      <top style="medium"/>
      <bottom/>
      <diagonal/>
    </border>
    <border diagonalUp="false" diagonalDown="false">
      <left style="medium"/>
      <right/>
      <top/>
      <bottom style="medium"/>
      <diagonal/>
    </border>
    <border diagonalUp="false" diagonalDown="false">
      <left/>
      <right style="medium"/>
      <top/>
      <bottom style="medium"/>
      <diagonal/>
    </border>
    <border diagonalUp="false" diagonalDown="false">
      <left/>
      <right style="thin"/>
      <top/>
      <bottom/>
      <diagonal/>
    </border>
    <border diagonalUp="false" diagonalDown="false">
      <left style="thin"/>
      <right style="thin"/>
      <top style="thin"/>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20">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5" fontId="6" fillId="0" borderId="0" xfId="0" applyFont="true" applyBorder="false" applyAlignment="true" applyProtection="true">
      <alignment horizontal="center" vertical="center" textRotation="0" wrapText="false" indent="0" shrinkToFit="false"/>
      <protection locked="true" hidden="false"/>
    </xf>
    <xf numFmtId="165"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7" fillId="0" borderId="0" xfId="0" applyFont="true" applyBorder="false" applyAlignment="true" applyProtection="true">
      <alignment horizontal="left" vertical="bottom" textRotation="0" wrapText="false" indent="0" shrinkToFit="false"/>
      <protection locked="true" hidden="false"/>
    </xf>
    <xf numFmtId="165" fontId="7" fillId="0" borderId="0" xfId="0" applyFont="true" applyBorder="false" applyAlignment="true" applyProtection="true">
      <alignment horizontal="center" vertical="bottom" textRotation="0" wrapText="false" indent="0" shrinkToFit="false"/>
      <protection locked="true" hidden="false"/>
    </xf>
    <xf numFmtId="165" fontId="7" fillId="0" borderId="0" xfId="0" applyFont="true" applyBorder="fals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6" fontId="8" fillId="2" borderId="0" xfId="0" applyFont="true" applyBorder="false" applyAlignment="true" applyProtection="true">
      <alignment horizontal="center" vertical="bottom" textRotation="0" wrapText="false" indent="0" shrinkToFit="false"/>
      <protection locked="true" hidden="false"/>
    </xf>
    <xf numFmtId="166" fontId="8" fillId="0" borderId="0" xfId="0" applyFont="true" applyBorder="false" applyAlignment="true" applyProtection="true">
      <alignment horizontal="center" vertical="bottom" textRotation="0" wrapText="false" indent="0" shrinkToFit="false"/>
      <protection locked="true" hidden="false"/>
    </xf>
    <xf numFmtId="164" fontId="9" fillId="3" borderId="1" xfId="0" applyFont="true" applyBorder="true" applyAlignment="true" applyProtection="true">
      <alignment horizontal="left" vertical="bottom" textRotation="0" wrapText="false" indent="0" shrinkToFit="false"/>
      <protection locked="true" hidden="false"/>
    </xf>
    <xf numFmtId="165" fontId="9" fillId="3" borderId="1" xfId="0" applyFont="true" applyBorder="true" applyAlignment="true" applyProtection="true">
      <alignment horizontal="center" vertical="bottom" textRotation="0" wrapText="false" indent="0" shrinkToFit="false"/>
      <protection locked="true" hidden="false"/>
    </xf>
    <xf numFmtId="167" fontId="8" fillId="2" borderId="0" xfId="0" applyFont="true" applyBorder="false" applyAlignment="true" applyProtection="true">
      <alignment horizontal="center" vertical="bottom" textRotation="0" wrapText="false" indent="0" shrinkToFit="false"/>
      <protection locked="true" hidden="false"/>
    </xf>
    <xf numFmtId="168" fontId="8" fillId="2" borderId="0" xfId="0" applyFont="true" applyBorder="false" applyAlignment="true" applyProtection="true">
      <alignment horizontal="center" vertical="bottom" textRotation="0" wrapText="false" indent="0" shrinkToFit="false"/>
      <protection locked="true" hidden="false"/>
    </xf>
    <xf numFmtId="168" fontId="5" fillId="0" borderId="0" xfId="0" applyFont="true" applyBorder="false" applyAlignment="true" applyProtection="true">
      <alignment horizontal="center" vertical="bottom" textRotation="0" wrapText="false" indent="0" shrinkToFit="false"/>
      <protection locked="true" hidden="false"/>
    </xf>
    <xf numFmtId="168" fontId="7" fillId="0" borderId="0" xfId="0" applyFont="true" applyBorder="false" applyAlignment="true" applyProtection="true">
      <alignment horizontal="center" vertical="bottom" textRotation="0" wrapText="false" indent="0" shrinkToFit="false"/>
      <protection locked="true" hidden="false"/>
    </xf>
    <xf numFmtId="169" fontId="8" fillId="2" borderId="0" xfId="0" applyFont="true" applyBorder="false" applyAlignment="true" applyProtection="true">
      <alignment horizontal="center" vertical="bottom" textRotation="0" wrapText="false" indent="0" shrinkToFit="false"/>
      <protection locked="true" hidden="false"/>
    </xf>
    <xf numFmtId="170" fontId="8" fillId="2" borderId="0" xfId="0" applyFont="true" applyBorder="false" applyAlignment="true" applyProtection="true">
      <alignment horizontal="center" vertical="bottom" textRotation="0" wrapText="false" indent="0" shrinkToFit="false"/>
      <protection locked="true" hidden="false"/>
    </xf>
    <xf numFmtId="171" fontId="8" fillId="2" borderId="0" xfId="0" applyFont="true" applyBorder="false" applyAlignment="true" applyProtection="true">
      <alignment horizontal="center" vertical="bottom" textRotation="0" wrapText="false" indent="0" shrinkToFit="false"/>
      <protection locked="true" hidden="false"/>
    </xf>
    <xf numFmtId="164" fontId="9" fillId="3" borderId="0" xfId="0" applyFont="true" applyBorder="false" applyAlignment="true" applyProtection="true">
      <alignment horizontal="general" vertical="center" textRotation="0" wrapText="false" indent="0" shrinkToFit="false"/>
      <protection locked="true" hidden="false"/>
    </xf>
    <xf numFmtId="165" fontId="6" fillId="3" borderId="0" xfId="0" applyFont="true" applyBorder="false" applyAlignment="true" applyProtection="true">
      <alignment horizontal="center" vertical="center" textRotation="0" wrapText="false" indent="0" shrinkToFit="false"/>
      <protection locked="true" hidden="false"/>
    </xf>
    <xf numFmtId="165" fontId="6" fillId="3" borderId="0" xfId="0" applyFont="true" applyBorder="false" applyAlignment="true" applyProtection="true">
      <alignment horizontal="general" vertical="bottom" textRotation="0" wrapText="false" indent="0" shrinkToFit="false"/>
      <protection locked="true" hidden="false"/>
    </xf>
    <xf numFmtId="164" fontId="6" fillId="3" borderId="0" xfId="0" applyFont="true" applyBorder="false" applyAlignment="true" applyProtection="true">
      <alignment horizontal="general" vertical="bottom" textRotation="0" wrapText="false" indent="0" shrinkToFit="false"/>
      <protection locked="true" hidden="false"/>
    </xf>
    <xf numFmtId="164" fontId="6" fillId="3" borderId="0" xfId="0" applyFont="true" applyBorder="false" applyAlignment="true" applyProtection="true">
      <alignment horizontal="center" vertical="bottom" textRotation="0" wrapText="false" indent="0" shrinkToFit="false"/>
      <protection locked="true" hidden="false"/>
    </xf>
    <xf numFmtId="172" fontId="6" fillId="4" borderId="0" xfId="0" applyFont="true" applyBorder="false" applyAlignment="true" applyProtection="true">
      <alignment horizontal="center"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center" vertical="bottom" textRotation="0" wrapText="false" indent="0" shrinkToFit="false"/>
      <protection locked="true" hidden="false"/>
    </xf>
    <xf numFmtId="168" fontId="8" fillId="0" borderId="0" xfId="0" applyFont="true" applyBorder="false" applyAlignment="true" applyProtection="true">
      <alignment horizontal="center" vertical="bottom" textRotation="0" wrapText="false" indent="0" shrinkToFit="false"/>
      <protection locked="true" hidden="false"/>
    </xf>
    <xf numFmtId="166" fontId="11" fillId="5" borderId="0" xfId="0" applyFont="true" applyBorder="false" applyAlignment="true" applyProtection="true">
      <alignment horizontal="center" vertical="bottom" textRotation="0" wrapText="false" indent="0" shrinkToFit="false"/>
      <protection locked="true" hidden="false"/>
    </xf>
    <xf numFmtId="164" fontId="6" fillId="6" borderId="0" xfId="0" applyFont="true" applyBorder="false" applyAlignment="true" applyProtection="true">
      <alignment horizontal="general" vertical="bottom" textRotation="0" wrapText="false" indent="0" shrinkToFit="false"/>
      <protection locked="true" hidden="false"/>
    </xf>
    <xf numFmtId="166" fontId="6" fillId="0" borderId="0" xfId="0" applyFont="true" applyBorder="false" applyAlignment="true" applyProtection="true">
      <alignment horizontal="general" vertical="bottom" textRotation="0" wrapText="false" indent="0" shrinkToFit="false"/>
      <protection locked="true" hidden="false"/>
    </xf>
    <xf numFmtId="168" fontId="9" fillId="3" borderId="1" xfId="0" applyFont="true" applyBorder="true" applyAlignment="true" applyProtection="true">
      <alignment horizontal="center" vertical="bottom" textRotation="0" wrapText="false" indent="0" shrinkToFit="false"/>
      <protection locked="true" hidden="false"/>
    </xf>
    <xf numFmtId="164" fontId="12" fillId="0" borderId="0" xfId="0" applyFont="true" applyBorder="false" applyAlignment="true" applyProtection="true">
      <alignment horizontal="left" vertical="bottom" textRotation="0" wrapText="false" indent="0" shrinkToFit="false"/>
      <protection locked="true" hidden="false"/>
    </xf>
    <xf numFmtId="173" fontId="7" fillId="0" borderId="0" xfId="0" applyFont="true" applyBorder="false" applyAlignment="true" applyProtection="true">
      <alignment horizontal="left" vertical="bottom" textRotation="0" wrapText="false" indent="0" shrinkToFit="false"/>
      <protection locked="true" hidden="false"/>
    </xf>
    <xf numFmtId="164" fontId="13" fillId="3" borderId="0" xfId="0" applyFont="true" applyBorder="false" applyAlignment="true" applyProtection="true">
      <alignment horizontal="left" vertical="bottom" textRotation="0" wrapText="false" indent="0" shrinkToFit="false"/>
      <protection locked="true" hidden="false"/>
    </xf>
    <xf numFmtId="164" fontId="9" fillId="3" borderId="0" xfId="0" applyFont="true" applyBorder="false" applyAlignment="true" applyProtection="true">
      <alignment horizontal="center" vertical="bottom" textRotation="0" wrapText="false" indent="0" shrinkToFit="false"/>
      <protection locked="true" hidden="false"/>
    </xf>
    <xf numFmtId="164" fontId="9" fillId="3" borderId="0" xfId="0" applyFont="true" applyBorder="true" applyAlignment="true" applyProtection="true">
      <alignment horizontal="center" vertical="bottom" textRotation="0" wrapText="false" indent="0" shrinkToFit="false"/>
      <protection locked="true" hidden="false"/>
    </xf>
    <xf numFmtId="164" fontId="9" fillId="3" borderId="1" xfId="0" applyFont="true" applyBorder="true" applyAlignment="true" applyProtection="true">
      <alignment horizontal="left" vertical="center" textRotation="0" wrapText="false" indent="0" shrinkToFit="false"/>
      <protection locked="true" hidden="false"/>
    </xf>
    <xf numFmtId="174" fontId="9" fillId="3" borderId="1" xfId="0" applyFont="true" applyBorder="true" applyAlignment="true" applyProtection="true">
      <alignment horizontal="center" vertical="bottom" textRotation="0" wrapText="false" indent="0" shrinkToFit="false"/>
      <protection locked="true" hidden="false"/>
    </xf>
    <xf numFmtId="175" fontId="9" fillId="3" borderId="1" xfId="0" applyFont="true" applyBorder="true" applyAlignment="true" applyProtection="true">
      <alignment horizontal="center" vertical="bottom" textRotation="0" wrapText="false" indent="0" shrinkToFit="false"/>
      <protection locked="true" hidden="false"/>
    </xf>
    <xf numFmtId="168" fontId="7" fillId="0" borderId="2" xfId="0"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true" applyProtection="true">
      <alignment horizontal="left" vertical="bottom" textRotation="0" wrapText="false" indent="0" shrinkToFit="false"/>
      <protection locked="true" hidden="false"/>
    </xf>
    <xf numFmtId="176" fontId="15" fillId="0" borderId="0" xfId="0" applyFont="true" applyBorder="false" applyAlignment="true" applyProtection="true">
      <alignment horizontal="center" vertical="bottom" textRotation="0" wrapText="false" indent="0" shrinkToFit="false"/>
      <protection locked="true" hidden="false"/>
    </xf>
    <xf numFmtId="171" fontId="15" fillId="2" borderId="3" xfId="0" applyFont="true" applyBorder="true" applyAlignment="true" applyProtection="true">
      <alignment horizontal="center" vertical="bottom" textRotation="0" wrapText="false" indent="0" shrinkToFit="false"/>
      <protection locked="true" hidden="false"/>
    </xf>
    <xf numFmtId="171" fontId="15" fillId="2" borderId="0" xfId="0" applyFont="true" applyBorder="false" applyAlignment="true" applyProtection="true">
      <alignment horizontal="center" vertical="bottom" textRotation="0" wrapText="false" indent="0" shrinkToFit="false"/>
      <protection locked="true" hidden="false"/>
    </xf>
    <xf numFmtId="168" fontId="7" fillId="0" borderId="3" xfId="0" applyFont="true" applyBorder="true" applyAlignment="true" applyProtection="true">
      <alignment horizontal="center" vertical="bottom" textRotation="0" wrapText="false" indent="0" shrinkToFit="false"/>
      <protection locked="true" hidden="false"/>
    </xf>
    <xf numFmtId="173" fontId="7" fillId="0" borderId="0" xfId="0" applyFont="true" applyBorder="false" applyAlignment="true" applyProtection="true">
      <alignment horizontal="left" vertical="center" textRotation="0" wrapText="false" indent="0" shrinkToFit="false"/>
      <protection locked="true" hidden="false"/>
    </xf>
    <xf numFmtId="171" fontId="14" fillId="0" borderId="0" xfId="0" applyFont="true" applyBorder="false" applyAlignment="true" applyProtection="true">
      <alignment horizontal="center" vertical="bottom" textRotation="0" wrapText="false" indent="0" shrinkToFit="false"/>
      <protection locked="true" hidden="false"/>
    </xf>
    <xf numFmtId="164" fontId="7" fillId="6" borderId="0" xfId="0" applyFont="true" applyBorder="false" applyAlignment="true" applyProtection="true">
      <alignment horizontal="left" vertical="bottom" textRotation="0" wrapText="false" indent="0" shrinkToFit="false"/>
      <protection locked="true" hidden="false"/>
    </xf>
    <xf numFmtId="164" fontId="14" fillId="6" borderId="0" xfId="0" applyFont="true" applyBorder="false" applyAlignment="true" applyProtection="true">
      <alignment horizontal="left" vertical="bottom" textRotation="0" wrapText="false" indent="0" shrinkToFit="false"/>
      <protection locked="true" hidden="false"/>
    </xf>
    <xf numFmtId="171" fontId="16" fillId="0" borderId="3" xfId="0" applyFont="true" applyBorder="true" applyAlignment="true" applyProtection="true">
      <alignment horizontal="center" vertical="bottom" textRotation="0" wrapText="false" indent="0" shrinkToFit="false"/>
      <protection locked="true" hidden="false"/>
    </xf>
    <xf numFmtId="171" fontId="16" fillId="0" borderId="0" xfId="0" applyFont="true" applyBorder="false" applyAlignment="true" applyProtection="true">
      <alignment horizontal="center" vertical="bottom" textRotation="0" wrapText="false" indent="0" shrinkToFit="false"/>
      <protection locked="true" hidden="false"/>
    </xf>
    <xf numFmtId="171" fontId="16" fillId="6" borderId="0" xfId="0" applyFont="true" applyBorder="false" applyAlignment="true" applyProtection="true">
      <alignment horizontal="center" vertical="bottom" textRotation="0" wrapText="false" indent="0" shrinkToFit="false"/>
      <protection locked="true" hidden="false"/>
    </xf>
    <xf numFmtId="171" fontId="16" fillId="6" borderId="3" xfId="0" applyFont="true" applyBorder="true" applyAlignment="true" applyProtection="true">
      <alignment horizontal="center" vertical="bottom" textRotation="0" wrapText="false" indent="0" shrinkToFit="false"/>
      <protection locked="true" hidden="false"/>
    </xf>
    <xf numFmtId="168" fontId="15" fillId="0" borderId="0" xfId="0" applyFont="true" applyBorder="false" applyAlignment="true" applyProtection="true">
      <alignment horizontal="center" vertical="bottom" textRotation="0" wrapText="false" indent="0" shrinkToFit="false"/>
      <protection locked="true" hidden="false"/>
    </xf>
    <xf numFmtId="168" fontId="7" fillId="6" borderId="3" xfId="0" applyFont="true" applyBorder="true" applyAlignment="true" applyProtection="true">
      <alignment horizontal="center" vertical="bottom" textRotation="0" wrapText="false" indent="0" shrinkToFit="false"/>
      <protection locked="true" hidden="false"/>
    </xf>
    <xf numFmtId="168" fontId="7" fillId="6" borderId="0" xfId="0" applyFont="true" applyBorder="false" applyAlignment="true" applyProtection="true">
      <alignment horizontal="center" vertical="bottom" textRotation="0" wrapText="false" indent="0" shrinkToFit="false"/>
      <protection locked="true" hidden="false"/>
    </xf>
    <xf numFmtId="171" fontId="14" fillId="6" borderId="3" xfId="0" applyFont="true" applyBorder="true" applyAlignment="true" applyProtection="true">
      <alignment horizontal="center" vertical="bottom" textRotation="0" wrapText="false" indent="0" shrinkToFit="false"/>
      <protection locked="true" hidden="false"/>
    </xf>
    <xf numFmtId="171" fontId="14" fillId="6" borderId="0" xfId="0" applyFont="true" applyBorder="false" applyAlignment="true" applyProtection="true">
      <alignment horizontal="center" vertical="bottom" textRotation="0" wrapText="false" indent="0" shrinkToFit="false"/>
      <protection locked="true" hidden="false"/>
    </xf>
    <xf numFmtId="164" fontId="9" fillId="3" borderId="0" xfId="0" applyFont="true" applyBorder="false" applyAlignment="true" applyProtection="true">
      <alignment horizontal="left" vertical="bottom" textRotation="0" wrapText="false" indent="0" shrinkToFit="false"/>
      <protection locked="true" hidden="false"/>
    </xf>
    <xf numFmtId="164" fontId="8" fillId="0" borderId="0" xfId="0" applyFont="true" applyBorder="false" applyAlignment="true" applyProtection="true">
      <alignment horizontal="center" vertical="bottom" textRotation="0" wrapText="false" indent="0" shrinkToFit="false"/>
      <protection locked="true" hidden="false"/>
    </xf>
    <xf numFmtId="168" fontId="9" fillId="3" borderId="4" xfId="0" applyFont="true" applyBorder="true" applyAlignment="true" applyProtection="true">
      <alignment horizontal="center" vertical="bottom" textRotation="0" wrapText="false" indent="0" shrinkToFit="false"/>
      <protection locked="true" hidden="false"/>
    </xf>
    <xf numFmtId="177" fontId="7" fillId="0" borderId="0" xfId="0" applyFont="true" applyBorder="false" applyAlignment="true" applyProtection="true">
      <alignment horizontal="center" vertical="bottom" textRotation="0" wrapText="false" indent="0" shrinkToFit="false"/>
      <protection locked="true" hidden="false"/>
    </xf>
    <xf numFmtId="171" fontId="15" fillId="6" borderId="0" xfId="0" applyFont="true" applyBorder="false" applyAlignment="true" applyProtection="true">
      <alignment horizontal="center" vertical="bottom" textRotation="0" wrapText="false" indent="0" shrinkToFit="false"/>
      <protection locked="true" hidden="false"/>
    </xf>
    <xf numFmtId="164" fontId="7" fillId="0" borderId="1" xfId="0" applyFont="true" applyBorder="true" applyAlignment="true" applyProtection="true">
      <alignment horizontal="left" vertical="bottom" textRotation="0" wrapText="false" indent="0" shrinkToFit="false"/>
      <protection locked="true" hidden="false"/>
    </xf>
    <xf numFmtId="164" fontId="7" fillId="0" borderId="1" xfId="0" applyFont="true" applyBorder="true" applyAlignment="true" applyProtection="true">
      <alignment horizontal="center" vertical="bottom" textRotation="0" wrapText="false" indent="0" shrinkToFit="false"/>
      <protection locked="true" hidden="false"/>
    </xf>
    <xf numFmtId="168" fontId="7" fillId="0" borderId="1" xfId="0" applyFont="true" applyBorder="true" applyAlignment="true" applyProtection="true">
      <alignment horizontal="center" vertical="bottom" textRotation="0" wrapText="false" indent="0" shrinkToFit="false"/>
      <protection locked="true" hidden="false"/>
    </xf>
    <xf numFmtId="168" fontId="9" fillId="3" borderId="0" xfId="0" applyFont="true" applyBorder="false" applyAlignment="true" applyProtection="true">
      <alignment horizontal="center" vertical="bottom" textRotation="0" wrapText="false" indent="0" shrinkToFit="false"/>
      <protection locked="true" hidden="false"/>
    </xf>
    <xf numFmtId="170" fontId="14" fillId="0" borderId="0" xfId="0" applyFont="true" applyBorder="false" applyAlignment="true" applyProtection="true">
      <alignment horizontal="center" vertical="bottom" textRotation="0" wrapText="false" indent="0" shrinkToFit="false"/>
      <protection locked="true" hidden="false"/>
    </xf>
    <xf numFmtId="164" fontId="7" fillId="0" borderId="0" xfId="0" applyFont="true" applyBorder="false" applyAlignment="true" applyProtection="true">
      <alignment horizontal="left" vertical="center" textRotation="0" wrapText="false" indent="0" shrinkToFit="false"/>
      <protection locked="true" hidden="false"/>
    </xf>
    <xf numFmtId="164" fontId="7" fillId="0" borderId="0" xfId="0" applyFont="true" applyBorder="false" applyAlignment="true" applyProtection="true">
      <alignment horizontal="center" vertical="center" textRotation="0" wrapText="false" indent="0" shrinkToFit="false"/>
      <protection locked="true" hidden="false"/>
    </xf>
    <xf numFmtId="164" fontId="7" fillId="0" borderId="2" xfId="0" applyFont="true" applyBorder="true" applyAlignment="true" applyProtection="true">
      <alignment horizontal="left" vertical="center" textRotation="0" wrapText="false" indent="0" shrinkToFit="false"/>
      <protection locked="true" hidden="false"/>
    </xf>
    <xf numFmtId="164" fontId="7" fillId="0" borderId="5" xfId="0" applyFont="true" applyBorder="true" applyAlignment="true" applyProtection="true">
      <alignment horizontal="center" vertical="center" textRotation="0" wrapText="false" indent="0" shrinkToFit="false"/>
      <protection locked="true" hidden="false"/>
    </xf>
    <xf numFmtId="168" fontId="7" fillId="0" borderId="5" xfId="0" applyFont="true" applyBorder="true" applyAlignment="true" applyProtection="true">
      <alignment horizontal="center" vertical="center" textRotation="0" wrapText="false" indent="0" shrinkToFit="false"/>
      <protection locked="true" hidden="false"/>
    </xf>
    <xf numFmtId="168" fontId="7" fillId="0" borderId="6" xfId="0" applyFont="true" applyBorder="true" applyAlignment="true" applyProtection="true">
      <alignment horizontal="center" vertical="center" textRotation="0" wrapText="false" indent="0" shrinkToFit="false"/>
      <protection locked="true" hidden="false"/>
    </xf>
    <xf numFmtId="164" fontId="7" fillId="0" borderId="4" xfId="0" applyFont="true" applyBorder="true" applyAlignment="true" applyProtection="true">
      <alignment horizontal="left" vertical="center" textRotation="0" wrapText="false" indent="0" shrinkToFit="false"/>
      <protection locked="true" hidden="false"/>
    </xf>
    <xf numFmtId="164" fontId="7" fillId="0" borderId="1" xfId="0" applyFont="true" applyBorder="true" applyAlignment="true" applyProtection="true">
      <alignment horizontal="center" vertical="center" textRotation="0" wrapText="false" indent="0" shrinkToFit="false"/>
      <protection locked="true" hidden="false"/>
    </xf>
    <xf numFmtId="168" fontId="7" fillId="0" borderId="1" xfId="0" applyFont="true" applyBorder="true" applyAlignment="true" applyProtection="true">
      <alignment horizontal="center" vertical="center" textRotation="0" wrapText="false" indent="0" shrinkToFit="false"/>
      <protection locked="true" hidden="false"/>
    </xf>
    <xf numFmtId="168" fontId="7" fillId="0" borderId="7" xfId="0" applyFont="true" applyBorder="true" applyAlignment="true" applyProtection="true">
      <alignment horizontal="center" vertical="center" textRotation="0" wrapText="false" indent="0" shrinkToFit="false"/>
      <protection locked="true" hidden="false"/>
    </xf>
    <xf numFmtId="168" fontId="7" fillId="0" borderId="0" xfId="0" applyFont="true" applyBorder="false" applyAlignment="true" applyProtection="true">
      <alignment horizontal="center" vertical="center" textRotation="0" wrapText="false" indent="0" shrinkToFit="false"/>
      <protection locked="true" hidden="false"/>
    </xf>
    <xf numFmtId="167" fontId="8" fillId="2" borderId="0" xfId="0" applyFont="true" applyBorder="false" applyAlignment="true" applyProtection="true">
      <alignment horizontal="center" vertical="center" textRotation="0" wrapText="false" indent="0" shrinkToFit="false"/>
      <protection locked="true" hidden="false"/>
    </xf>
    <xf numFmtId="176" fontId="11" fillId="2" borderId="0" xfId="0" applyFont="true" applyBorder="false" applyAlignment="true" applyProtection="true">
      <alignment horizontal="center" vertical="bottom" textRotation="0" wrapText="false" indent="0" shrinkToFit="false"/>
      <protection locked="true" hidden="false"/>
    </xf>
    <xf numFmtId="171" fontId="7" fillId="0" borderId="0" xfId="0" applyFont="true" applyBorder="false" applyAlignment="true" applyProtection="true">
      <alignment horizontal="center" vertical="center" textRotation="0" wrapText="false" indent="0" shrinkToFit="false"/>
      <protection locked="true" hidden="false"/>
    </xf>
    <xf numFmtId="164" fontId="17" fillId="0" borderId="8" xfId="0" applyFont="true" applyBorder="true" applyAlignment="true" applyProtection="true">
      <alignment horizontal="left" vertical="bottom" textRotation="0" wrapText="false" indent="0" shrinkToFit="false"/>
      <protection locked="true" hidden="false"/>
    </xf>
    <xf numFmtId="170" fontId="17" fillId="0" borderId="9" xfId="0" applyFont="true" applyBorder="true" applyAlignment="true" applyProtection="true">
      <alignment horizontal="center" vertical="bottom" textRotation="0" wrapText="false" indent="0" shrinkToFit="false"/>
      <protection locked="true" hidden="false"/>
    </xf>
    <xf numFmtId="164" fontId="17" fillId="0" borderId="10" xfId="0" applyFont="true" applyBorder="true" applyAlignment="true" applyProtection="true">
      <alignment horizontal="left" vertical="bottom" textRotation="0" wrapText="false" indent="0" shrinkToFit="false"/>
      <protection locked="true" hidden="false"/>
    </xf>
    <xf numFmtId="171" fontId="17" fillId="0" borderId="11" xfId="0" applyFont="true" applyBorder="true" applyAlignment="true" applyProtection="true">
      <alignment horizontal="center" vertical="bottom" textRotation="0" wrapText="false" indent="0" shrinkToFit="false"/>
      <protection locked="true" hidden="false"/>
    </xf>
    <xf numFmtId="164" fontId="18" fillId="0" borderId="2" xfId="0" applyFont="true" applyBorder="true" applyAlignment="true" applyProtection="true">
      <alignment horizontal="general" vertical="bottom" textRotation="0" wrapText="false" indent="0" shrinkToFit="false"/>
      <protection locked="true" hidden="false"/>
    </xf>
    <xf numFmtId="164" fontId="6" fillId="0" borderId="6" xfId="0" applyFont="true" applyBorder="true" applyAlignment="true" applyProtection="true">
      <alignment horizontal="general" vertical="bottom" textRotation="0" wrapText="false" indent="0" shrinkToFit="false"/>
      <protection locked="true" hidden="false"/>
    </xf>
    <xf numFmtId="164" fontId="6" fillId="6" borderId="4" xfId="0" applyFont="true" applyBorder="true" applyAlignment="true" applyProtection="true">
      <alignment horizontal="general" vertical="bottom" textRotation="0" wrapText="false" indent="0" shrinkToFit="false"/>
      <protection locked="true" hidden="false"/>
    </xf>
    <xf numFmtId="164" fontId="6" fillId="6" borderId="7" xfId="0" applyFont="true" applyBorder="true" applyAlignment="true" applyProtection="true">
      <alignment horizontal="general" vertical="bottom" textRotation="0" wrapText="false" indent="0" shrinkToFit="false"/>
      <protection locked="true" hidden="false"/>
    </xf>
    <xf numFmtId="165" fontId="13" fillId="3" borderId="1" xfId="0" applyFont="true" applyBorder="true" applyAlignment="true" applyProtection="true">
      <alignment horizontal="center" vertical="center" textRotation="0" wrapText="false" indent="0" shrinkToFit="false"/>
      <protection locked="true" hidden="false"/>
    </xf>
    <xf numFmtId="165" fontId="13" fillId="3" borderId="1" xfId="0" applyFont="true" applyBorder="true" applyAlignment="true" applyProtection="true">
      <alignment horizontal="left" vertical="center" textRotation="0" wrapText="false" indent="0" shrinkToFit="false"/>
      <protection locked="true" hidden="false"/>
    </xf>
    <xf numFmtId="164" fontId="13" fillId="3" borderId="1" xfId="0" applyFont="true" applyBorder="true" applyAlignment="true" applyProtection="true">
      <alignment horizontal="left" vertical="center" textRotation="0" wrapText="false" indent="0" shrinkToFit="false"/>
      <protection locked="true" hidden="false"/>
    </xf>
    <xf numFmtId="164" fontId="13" fillId="3" borderId="1" xfId="0" applyFont="true" applyBorder="true" applyAlignment="true" applyProtection="true">
      <alignment horizontal="center" vertical="center" textRotation="0" wrapText="false" indent="0" shrinkToFit="false"/>
      <protection locked="true" hidden="false"/>
    </xf>
    <xf numFmtId="168" fontId="13" fillId="3" borderId="1" xfId="0" applyFont="true" applyBorder="true" applyAlignment="true" applyProtection="true">
      <alignment horizontal="center" vertical="center" textRotation="0" wrapText="false" indent="0" shrinkToFit="false"/>
      <protection locked="true" hidden="false"/>
    </xf>
    <xf numFmtId="173" fontId="13" fillId="3" borderId="1" xfId="0" applyFont="true" applyBorder="true" applyAlignment="true" applyProtection="true">
      <alignment horizontal="left" vertical="center" textRotation="0" wrapText="false" indent="0" shrinkToFit="false"/>
      <protection locked="true" hidden="false"/>
    </xf>
    <xf numFmtId="164" fontId="19" fillId="6" borderId="5" xfId="0" applyFont="true" applyBorder="true" applyAlignment="true" applyProtection="true">
      <alignment horizontal="left" vertical="top" textRotation="0" wrapText="true" indent="0" shrinkToFit="false"/>
      <protection locked="true" hidden="false"/>
    </xf>
    <xf numFmtId="164" fontId="19" fillId="0" borderId="0" xfId="0" applyFont="true" applyBorder="false" applyAlignment="true" applyProtection="true">
      <alignment horizontal="left" vertical="center" textRotation="0" wrapText="false" indent="0" shrinkToFit="false"/>
      <protection locked="true" hidden="false"/>
    </xf>
    <xf numFmtId="165" fontId="19" fillId="0" borderId="0" xfId="0" applyFont="true" applyBorder="false" applyAlignment="true" applyProtection="true">
      <alignment horizontal="center" vertical="center" textRotation="0" wrapText="false" indent="0" shrinkToFit="false"/>
      <protection locked="true" hidden="false"/>
    </xf>
    <xf numFmtId="165" fontId="19" fillId="0" borderId="0" xfId="0" applyFont="true" applyBorder="false" applyAlignment="true" applyProtection="true">
      <alignment horizontal="left" vertical="center" textRotation="0" wrapText="false" indent="0" shrinkToFit="false"/>
      <protection locked="true" hidden="false"/>
    </xf>
    <xf numFmtId="164" fontId="19" fillId="0" borderId="0" xfId="0" applyFont="true" applyBorder="false" applyAlignment="true" applyProtection="true">
      <alignment horizontal="center" vertical="center" textRotation="0" wrapText="false" indent="0" shrinkToFit="false"/>
      <protection locked="true" hidden="false"/>
    </xf>
    <xf numFmtId="168" fontId="21" fillId="0" borderId="0" xfId="0" applyFont="true" applyBorder="false" applyAlignment="true" applyProtection="true">
      <alignment horizontal="center" vertical="center" textRotation="0" wrapText="false" indent="0" shrinkToFit="false"/>
      <protection locked="true" hidden="false"/>
    </xf>
    <xf numFmtId="164" fontId="21" fillId="0" borderId="0" xfId="0" applyFont="true" applyBorder="false" applyAlignment="true" applyProtection="true">
      <alignment horizontal="left" vertical="center" textRotation="0" wrapText="false" indent="0" shrinkToFit="false"/>
      <protection locked="true" hidden="false"/>
    </xf>
    <xf numFmtId="173" fontId="21" fillId="0" borderId="0" xfId="0" applyFont="true" applyBorder="false" applyAlignment="true" applyProtection="true">
      <alignment horizontal="left" vertical="center" textRotation="0" wrapText="false" indent="0" shrinkToFit="false"/>
      <protection locked="true" hidden="false"/>
    </xf>
    <xf numFmtId="165" fontId="21" fillId="0" borderId="0" xfId="0" applyFont="true" applyBorder="false" applyAlignment="true" applyProtection="true">
      <alignment horizontal="center" vertical="center" textRotation="0" wrapText="false" indent="0" shrinkToFit="false"/>
      <protection locked="true" hidden="false"/>
    </xf>
    <xf numFmtId="165" fontId="21" fillId="0" borderId="0" xfId="0" applyFont="true" applyBorder="false" applyAlignment="true" applyProtection="true">
      <alignment horizontal="left" vertical="center" textRotation="0" wrapText="false" indent="0" shrinkToFit="false"/>
      <protection locked="true" hidden="false"/>
    </xf>
    <xf numFmtId="164" fontId="21" fillId="0" borderId="0" xfId="0" applyFont="true" applyBorder="false" applyAlignment="true" applyProtection="true">
      <alignment horizontal="center" vertical="center" textRotation="0" wrapText="false" indent="0" shrinkToFit="false"/>
      <protection locked="true" hidden="false"/>
    </xf>
    <xf numFmtId="164" fontId="21" fillId="0" borderId="0" xfId="0" applyFont="true" applyBorder="true" applyAlignment="true" applyProtection="true">
      <alignment horizontal="left" vertical="center" textRotation="0" wrapText="false" indent="0" shrinkToFit="false"/>
      <protection locked="true" hidden="false"/>
    </xf>
    <xf numFmtId="164" fontId="17" fillId="0" borderId="0" xfId="0" applyFont="true" applyBorder="false" applyAlignment="true" applyProtection="true">
      <alignment horizontal="left" vertical="bottom" textRotation="0" wrapText="false" indent="0" shrinkToFit="false"/>
      <protection locked="true" hidden="false"/>
    </xf>
    <xf numFmtId="171" fontId="15" fillId="7" borderId="3" xfId="0" applyFont="true" applyBorder="true" applyAlignment="true" applyProtection="true">
      <alignment horizontal="center" vertical="bottom" textRotation="0" wrapText="false" indent="0" shrinkToFit="false"/>
      <protection locked="true" hidden="false"/>
    </xf>
    <xf numFmtId="171" fontId="15" fillId="7" borderId="0" xfId="0" applyFont="true" applyBorder="false" applyAlignment="true" applyProtection="true">
      <alignment horizontal="center" vertical="bottom" textRotation="0" wrapText="false" indent="0" shrinkToFit="false"/>
      <protection locked="true" hidden="false"/>
    </xf>
    <xf numFmtId="167" fontId="8" fillId="7" borderId="0" xfId="0" applyFont="true" applyBorder="false" applyAlignment="true" applyProtection="true">
      <alignment horizontal="center" vertical="center"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71" fontId="0" fillId="0" borderId="0" xfId="0" applyFont="false" applyBorder="fals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8" fontId="0" fillId="0" borderId="0" xfId="0" applyFont="false" applyBorder="false" applyAlignment="true" applyProtection="true">
      <alignment horizontal="general" vertical="bottom" textRotation="0" wrapText="false" indent="0" shrinkToFit="false"/>
      <protection locked="true" hidden="false"/>
    </xf>
    <xf numFmtId="170" fontId="0" fillId="0" borderId="0" xfId="0" applyFont="false" applyBorder="false" applyAlignment="true" applyProtection="tru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8" fontId="0" fillId="0" borderId="0" xfId="0" applyFont="false" applyBorder="false" applyAlignment="false" applyProtection="false">
      <alignment horizontal="general" vertical="bottom" textRotation="0" wrapText="false" indent="0" shrinkToFit="false"/>
      <protection locked="true" hidden="false"/>
    </xf>
    <xf numFmtId="178" fontId="23"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8" fontId="23" fillId="0" borderId="0" xfId="0" applyFont="true" applyBorder="false" applyAlignment="false" applyProtection="false">
      <alignment horizontal="general" vertical="bottom" textRotation="0" wrapText="false" indent="0" shrinkToFit="false"/>
      <protection locked="true" hidden="false"/>
    </xf>
    <xf numFmtId="179" fontId="23" fillId="0" borderId="0" xfId="0" applyFont="true" applyBorder="false" applyAlignment="false" applyProtection="false">
      <alignment horizontal="general" vertical="bottom" textRotation="0" wrapText="false" indent="0" shrinkToFit="false"/>
      <protection locked="true" hidden="false"/>
    </xf>
    <xf numFmtId="178" fontId="24" fillId="0" borderId="0" xfId="0" applyFont="true" applyBorder="false" applyAlignment="false" applyProtection="false">
      <alignment horizontal="general" vertical="bottom" textRotation="0" wrapText="false" indent="0" shrinkToFit="false"/>
      <protection locked="true" hidden="false"/>
    </xf>
    <xf numFmtId="170" fontId="23" fillId="0" borderId="0" xfId="0" applyFont="true" applyBorder="false" applyAlignment="false" applyProtection="false">
      <alignment horizontal="general" vertical="bottom" textRotation="0" wrapText="false" indent="0" shrinkToFit="false"/>
      <protection locked="true" hidden="false"/>
    </xf>
    <xf numFmtId="180" fontId="0" fillId="0" borderId="0" xfId="0" applyFont="false" applyBorder="false" applyAlignment="false" applyProtection="false">
      <alignment horizontal="general" vertical="bottom" textRotation="0" wrapText="false" indent="0" shrinkToFit="false"/>
      <protection locked="true" hidden="false"/>
    </xf>
    <xf numFmtId="180" fontId="24" fillId="0" borderId="0" xfId="0" applyFont="true" applyBorder="false" applyAlignment="false" applyProtection="false">
      <alignment horizontal="general" vertical="bottom" textRotation="0" wrapText="false" indent="0" shrinkToFit="false"/>
      <protection locked="true" hidden="false"/>
    </xf>
    <xf numFmtId="171" fontId="23" fillId="0" borderId="0" xfId="0" applyFont="true" applyBorder="false" applyAlignment="false" applyProtection="false">
      <alignment horizontal="general" vertical="bottom" textRotation="0" wrapText="false" indent="0" shrinkToFit="false"/>
      <protection locked="true" hidden="false"/>
    </xf>
    <xf numFmtId="164" fontId="25" fillId="0" borderId="0" xfId="21" applyFont="true" applyBorder="false" applyAlignment="true" applyProtection="true">
      <alignment horizontal="general" vertical="bottom" textRotation="0" wrapText="false" indent="0" shrinkToFit="false"/>
      <protection locked="true" hidden="false"/>
    </xf>
    <xf numFmtId="164" fontId="26" fillId="0" borderId="0" xfId="21" applyFont="true" applyBorder="false" applyAlignment="true" applyProtection="true">
      <alignment horizontal="general" vertical="bottom" textRotation="0" wrapText="false" indent="0" shrinkToFit="false"/>
      <protection locked="true" hidden="false"/>
    </xf>
    <xf numFmtId="164" fontId="27" fillId="0" borderId="0" xfId="21" applyFont="true" applyBorder="false" applyAlignment="true" applyProtection="true">
      <alignment horizontal="general" vertical="bottom" textRotation="0" wrapText="true" indent="0" shrinkToFit="false"/>
      <protection locked="true" hidden="false"/>
    </xf>
    <xf numFmtId="164" fontId="28" fillId="0" borderId="0" xfId="21" applyFont="true" applyBorder="false" applyAlignment="true" applyProtection="true">
      <alignment horizontal="general" vertical="bottom" textRotation="0" wrapText="false" indent="0" shrinkToFit="false"/>
      <protection locked="true" hidden="false"/>
    </xf>
    <xf numFmtId="164" fontId="29" fillId="0" borderId="0" xfId="21" applyFont="true" applyBorder="false" applyAlignment="true" applyProtection="true">
      <alignment horizontal="left" vertical="top" textRotation="0" wrapText="false" indent="0" shrinkToFit="false"/>
      <protection locked="true" hidden="false"/>
    </xf>
    <xf numFmtId="179" fontId="25" fillId="0" borderId="0" xfId="21" applyFont="true" applyBorder="false" applyAlignment="true" applyProtection="true">
      <alignment horizontal="general" vertical="bottom" textRotation="0" wrapText="false" indent="0" shrinkToFit="false"/>
      <protection locked="true" hidden="false"/>
    </xf>
    <xf numFmtId="164" fontId="30" fillId="8" borderId="0" xfId="21" applyFont="true" applyBorder="false" applyAlignment="true" applyProtection="true">
      <alignment horizontal="general" vertical="bottom" textRotation="0" wrapText="false" indent="0" shrinkToFit="false"/>
      <protection locked="true" hidden="false"/>
    </xf>
    <xf numFmtId="164" fontId="30" fillId="8" borderId="2" xfId="21" applyFont="true" applyBorder="true" applyAlignment="true" applyProtection="true">
      <alignment horizontal="general" vertical="bottom" textRotation="0" wrapText="false" indent="0" shrinkToFit="false"/>
      <protection locked="true" hidden="false"/>
    </xf>
    <xf numFmtId="164" fontId="30" fillId="8" borderId="6" xfId="21" applyFont="true" applyBorder="true" applyAlignment="true" applyProtection="true">
      <alignment horizontal="general" vertical="bottom" textRotation="0" wrapText="false" indent="0" shrinkToFit="false"/>
      <protection locked="true" hidden="false"/>
    </xf>
    <xf numFmtId="164" fontId="4" fillId="0" borderId="0" xfId="20" applyFont="true" applyBorder="false" applyAlignment="true" applyProtection="true">
      <alignment horizontal="general" vertical="bottom" textRotation="0" wrapText="false" indent="0" shrinkToFit="false"/>
      <protection locked="true" hidden="false"/>
    </xf>
    <xf numFmtId="164" fontId="31" fillId="9" borderId="0" xfId="21" applyFont="true" applyBorder="false" applyAlignment="true" applyProtection="true">
      <alignment horizontal="general" vertical="bottom" textRotation="0" wrapText="true" indent="0" shrinkToFit="false"/>
      <protection locked="true" hidden="false"/>
    </xf>
    <xf numFmtId="164" fontId="31" fillId="9" borderId="0" xfId="21" applyFont="true" applyBorder="false" applyAlignment="true" applyProtection="true">
      <alignment horizontal="right" vertical="bottom" textRotation="0" wrapText="true" indent="0" shrinkToFit="false"/>
      <protection locked="true" hidden="false"/>
    </xf>
    <xf numFmtId="164" fontId="31" fillId="9" borderId="3" xfId="21" applyFont="true" applyBorder="true" applyAlignment="true" applyProtection="true">
      <alignment horizontal="right" vertical="bottom" textRotation="0" wrapText="true" indent="0" shrinkToFit="false"/>
      <protection locked="true" hidden="false"/>
    </xf>
    <xf numFmtId="164" fontId="31" fillId="9" borderId="12" xfId="21" applyFont="true" applyBorder="true" applyAlignment="true" applyProtection="true">
      <alignment horizontal="right" vertical="bottom" textRotation="0" wrapText="true" indent="0" shrinkToFit="false"/>
      <protection locked="true" hidden="false"/>
    </xf>
    <xf numFmtId="164" fontId="32" fillId="9" borderId="0" xfId="21" applyFont="true" applyBorder="false" applyAlignment="true" applyProtection="true">
      <alignment horizontal="general" vertical="bottom" textRotation="0" wrapText="true" indent="0" shrinkToFit="false"/>
      <protection locked="true" hidden="false"/>
    </xf>
    <xf numFmtId="164" fontId="32" fillId="9" borderId="0" xfId="21" applyFont="true" applyBorder="false" applyAlignment="true" applyProtection="true">
      <alignment horizontal="right" vertical="bottom" textRotation="0" wrapText="true" indent="0" shrinkToFit="false"/>
      <protection locked="true" hidden="false"/>
    </xf>
    <xf numFmtId="164" fontId="32" fillId="9" borderId="3" xfId="21" applyFont="true" applyBorder="true" applyAlignment="true" applyProtection="true">
      <alignment horizontal="right" vertical="bottom" textRotation="0" wrapText="true" indent="0" shrinkToFit="false"/>
      <protection locked="true" hidden="false"/>
    </xf>
    <xf numFmtId="164" fontId="32" fillId="9" borderId="12" xfId="21" applyFont="true" applyBorder="true" applyAlignment="true" applyProtection="true">
      <alignment horizontal="right" vertical="bottom" textRotation="0" wrapText="true" indent="0" shrinkToFit="false"/>
      <protection locked="true" hidden="false"/>
    </xf>
    <xf numFmtId="164" fontId="31" fillId="0" borderId="0" xfId="21" applyFont="true" applyBorder="false" applyAlignment="true" applyProtection="true">
      <alignment horizontal="left" vertical="top" textRotation="0" wrapText="false" indent="0" shrinkToFit="false"/>
      <protection locked="true" hidden="false"/>
    </xf>
    <xf numFmtId="164" fontId="25" fillId="0" borderId="3" xfId="21" applyFont="true" applyBorder="true" applyAlignment="true" applyProtection="true">
      <alignment horizontal="general" vertical="bottom" textRotation="0" wrapText="false" indent="0" shrinkToFit="false"/>
      <protection locked="true" hidden="false"/>
    </xf>
    <xf numFmtId="164" fontId="25" fillId="0" borderId="12" xfId="21" applyFont="true" applyBorder="true" applyAlignment="true" applyProtection="true">
      <alignment horizontal="general" vertical="bottom" textRotation="0" wrapText="false" indent="0" shrinkToFit="false"/>
      <protection locked="true" hidden="false"/>
    </xf>
    <xf numFmtId="181" fontId="31" fillId="0" borderId="0" xfId="21" applyFont="true" applyBorder="false" applyAlignment="true" applyProtection="true">
      <alignment horizontal="right" vertical="top" textRotation="0" wrapText="true" indent="0" shrinkToFit="false"/>
      <protection locked="true" hidden="false"/>
    </xf>
    <xf numFmtId="176" fontId="25" fillId="0" borderId="3" xfId="21" applyFont="true" applyBorder="true" applyAlignment="true" applyProtection="true">
      <alignment horizontal="general" vertical="bottom" textRotation="0" wrapText="false" indent="0" shrinkToFit="false"/>
      <protection locked="true" hidden="false"/>
    </xf>
    <xf numFmtId="176" fontId="25" fillId="0" borderId="12" xfId="21" applyFont="true" applyBorder="true" applyAlignment="true" applyProtection="true">
      <alignment horizontal="general" vertical="bottom" textRotation="0" wrapText="false" indent="0" shrinkToFit="false"/>
      <protection locked="true" hidden="false"/>
    </xf>
    <xf numFmtId="164" fontId="33" fillId="0" borderId="0" xfId="21" applyFont="true" applyBorder="false" applyAlignment="true" applyProtection="true">
      <alignment horizontal="left" vertical="top" textRotation="0" wrapText="false" indent="0" shrinkToFit="false"/>
      <protection locked="true" hidden="false"/>
    </xf>
    <xf numFmtId="179" fontId="33" fillId="0" borderId="0" xfId="21" applyFont="true" applyBorder="false" applyAlignment="true" applyProtection="true">
      <alignment horizontal="right" vertical="top" textRotation="0" wrapText="true" indent="0" shrinkToFit="false"/>
      <protection locked="true" hidden="false"/>
    </xf>
    <xf numFmtId="182" fontId="33" fillId="0" borderId="0" xfId="21" applyFont="true" applyBorder="false" applyAlignment="true" applyProtection="true">
      <alignment horizontal="right" vertical="top" textRotation="0" wrapText="true" indent="0" shrinkToFit="false"/>
      <protection locked="true" hidden="false"/>
    </xf>
    <xf numFmtId="183" fontId="31" fillId="0" borderId="0" xfId="21" applyFont="true" applyBorder="false" applyAlignment="true" applyProtection="true">
      <alignment horizontal="right" vertical="top" textRotation="0" wrapText="true" indent="0" shrinkToFit="false"/>
      <protection locked="true" hidden="false"/>
    </xf>
    <xf numFmtId="164" fontId="25" fillId="0" borderId="4" xfId="21" applyFont="true" applyBorder="true" applyAlignment="true" applyProtection="true">
      <alignment horizontal="general" vertical="bottom" textRotation="0" wrapText="false" indent="0" shrinkToFit="false"/>
      <protection locked="true" hidden="false"/>
    </xf>
    <xf numFmtId="164" fontId="25" fillId="0" borderId="7" xfId="21" applyFont="true" applyBorder="true" applyAlignment="true" applyProtection="true">
      <alignment horizontal="general" vertical="bottom" textRotation="0" wrapText="false" indent="0" shrinkToFit="false"/>
      <protection locked="true" hidden="false"/>
    </xf>
    <xf numFmtId="164" fontId="25" fillId="0" borderId="0" xfId="21" applyFont="true" applyBorder="false" applyAlignment="true" applyProtection="true">
      <alignment horizontal="general" vertical="top" textRotation="0" wrapText="true" indent="0" shrinkToFit="false"/>
      <protection locked="true" hidden="false"/>
    </xf>
    <xf numFmtId="164" fontId="32" fillId="10" borderId="0" xfId="21" applyFont="true" applyBorder="false" applyAlignment="true" applyProtection="true">
      <alignment horizontal="general" vertical="bottom" textRotation="0" wrapText="true" indent="0" shrinkToFit="false"/>
      <protection locked="true" hidden="false"/>
    </xf>
    <xf numFmtId="164" fontId="32" fillId="10" borderId="0" xfId="21" applyFont="true" applyBorder="false" applyAlignment="true" applyProtection="true">
      <alignment horizontal="right" vertical="bottom" textRotation="0" wrapText="true" indent="0" shrinkToFit="false"/>
      <protection locked="true" hidden="false"/>
    </xf>
    <xf numFmtId="183" fontId="29" fillId="0" borderId="0" xfId="21" applyFont="true" applyBorder="false" applyAlignment="true" applyProtection="true">
      <alignment horizontal="right" vertical="top" textRotation="0" wrapText="true" indent="0" shrinkToFit="false"/>
      <protection locked="true" hidden="false"/>
    </xf>
    <xf numFmtId="181" fontId="29" fillId="0" borderId="0" xfId="21" applyFont="true" applyBorder="false" applyAlignment="true" applyProtection="true">
      <alignment horizontal="right" vertical="top" textRotation="0" wrapText="true" indent="0" shrinkToFit="false"/>
      <protection locked="true" hidden="false"/>
    </xf>
    <xf numFmtId="181" fontId="31" fillId="0" borderId="5" xfId="21" applyFont="true" applyBorder="true" applyAlignment="true" applyProtection="true">
      <alignment horizontal="right" vertical="top" textRotation="0" wrapText="true" indent="0" shrinkToFit="false"/>
      <protection locked="true" hidden="false"/>
    </xf>
    <xf numFmtId="164" fontId="25" fillId="0" borderId="0" xfId="21" applyFont="true" applyBorder="false" applyAlignment="true" applyProtection="true">
      <alignment horizontal="center" vertical="top" textRotation="0" wrapText="true" indent="0" shrinkToFit="false"/>
      <protection locked="true" hidden="false"/>
    </xf>
    <xf numFmtId="164" fontId="31" fillId="10" borderId="0" xfId="21" applyFont="true" applyBorder="false" applyAlignment="true" applyProtection="true">
      <alignment horizontal="general" vertical="bottom" textRotation="0" wrapText="true" indent="0" shrinkToFit="false"/>
      <protection locked="true" hidden="false"/>
    </xf>
    <xf numFmtId="164" fontId="31" fillId="10" borderId="0" xfId="21" applyFont="true" applyBorder="false" applyAlignment="true" applyProtection="true">
      <alignment horizontal="right" vertical="bottom" textRotation="0" wrapText="true" indent="0" shrinkToFit="false"/>
      <protection locked="true" hidden="false"/>
    </xf>
    <xf numFmtId="179" fontId="29" fillId="0" borderId="0" xfId="21" applyFont="true" applyBorder="false" applyAlignment="true" applyProtection="true">
      <alignment horizontal="right" vertical="top" textRotation="0" wrapText="true" indent="0" shrinkToFit="false"/>
      <protection locked="true" hidden="false"/>
    </xf>
    <xf numFmtId="164" fontId="29" fillId="0" borderId="0" xfId="21" applyFont="true" applyBorder="false" applyAlignment="true" applyProtection="true">
      <alignment horizontal="center" vertical="center" textRotation="0" wrapText="true" indent="0" shrinkToFit="false"/>
      <protection locked="true" hidden="false"/>
    </xf>
    <xf numFmtId="164" fontId="29" fillId="0" borderId="0" xfId="21" applyFont="true" applyBorder="false" applyAlignment="true" applyProtection="true">
      <alignment horizontal="left" vertical="center" textRotation="0" wrapText="false" indent="0" shrinkToFit="false"/>
      <protection locked="true" hidden="false"/>
    </xf>
    <xf numFmtId="164" fontId="25" fillId="0" borderId="2" xfId="21" applyFont="true" applyBorder="true" applyAlignment="true" applyProtection="true">
      <alignment horizontal="general" vertical="bottom" textRotation="0" wrapText="false" indent="0" shrinkToFit="false"/>
      <protection locked="true" hidden="false"/>
    </xf>
    <xf numFmtId="164" fontId="25" fillId="0" borderId="6" xfId="21" applyFont="true" applyBorder="true" applyAlignment="true" applyProtection="true">
      <alignment horizontal="general" vertical="bottom" textRotation="0" wrapText="false" indent="0" shrinkToFit="false"/>
      <protection locked="true" hidden="false"/>
    </xf>
    <xf numFmtId="164" fontId="25" fillId="9" borderId="0" xfId="21" applyFont="true" applyBorder="false" applyAlignment="true" applyProtection="true">
      <alignment horizontal="general" vertical="bottom" textRotation="0" wrapText="false" indent="0" shrinkToFit="false"/>
      <protection locked="true" hidden="false"/>
    </xf>
    <xf numFmtId="164" fontId="25" fillId="9" borderId="3" xfId="21" applyFont="true" applyBorder="true" applyAlignment="true" applyProtection="true">
      <alignment horizontal="general" vertical="bottom" textRotation="0" wrapText="false" indent="0" shrinkToFit="false"/>
      <protection locked="true" hidden="false"/>
    </xf>
    <xf numFmtId="164" fontId="25" fillId="9" borderId="12" xfId="21" applyFont="true" applyBorder="true" applyAlignment="true" applyProtection="true">
      <alignment horizontal="general" vertical="bottom" textRotation="0" wrapText="false" indent="0" shrinkToFit="false"/>
      <protection locked="true" hidden="false"/>
    </xf>
    <xf numFmtId="164" fontId="30" fillId="9" borderId="0" xfId="21" applyFont="true" applyBorder="false" applyAlignment="true" applyProtection="true">
      <alignment horizontal="general" vertical="bottom" textRotation="0" wrapText="false" indent="0" shrinkToFit="false"/>
      <protection locked="true" hidden="false"/>
    </xf>
    <xf numFmtId="164" fontId="4" fillId="9" borderId="0" xfId="20" applyFont="true" applyBorder="false" applyAlignment="true" applyProtection="true">
      <alignment horizontal="general" vertical="bottom" textRotation="0" wrapText="false" indent="0" shrinkToFit="false"/>
      <protection locked="true" hidden="false"/>
    </xf>
    <xf numFmtId="164" fontId="4" fillId="9" borderId="3" xfId="20" applyFont="true" applyBorder="true" applyAlignment="true" applyProtection="true">
      <alignment horizontal="general" vertical="bottom" textRotation="0" wrapText="false" indent="0" shrinkToFit="false"/>
      <protection locked="true" hidden="false"/>
    </xf>
    <xf numFmtId="164" fontId="4" fillId="9" borderId="12" xfId="20" applyFont="true" applyBorder="true" applyAlignment="true" applyProtection="true">
      <alignment horizontal="general" vertical="bottom" textRotation="0" wrapText="false" indent="0" shrinkToFit="false"/>
      <protection locked="true" hidden="false"/>
    </xf>
    <xf numFmtId="181" fontId="34" fillId="0" borderId="5" xfId="21" applyFont="true" applyBorder="true" applyAlignment="true" applyProtection="true">
      <alignment horizontal="right" vertical="top" textRotation="0" wrapText="true" indent="0" shrinkToFit="false"/>
      <protection locked="true" hidden="false"/>
    </xf>
    <xf numFmtId="184" fontId="29" fillId="0" borderId="0" xfId="21" applyFont="true" applyBorder="false" applyAlignment="true" applyProtection="true">
      <alignment horizontal="right" vertical="top" textRotation="0" wrapText="true" indent="0" shrinkToFit="false"/>
      <protection locked="true" hidden="false"/>
    </xf>
    <xf numFmtId="182" fontId="29" fillId="0" borderId="0" xfId="21" applyFont="true" applyBorder="false" applyAlignment="true" applyProtection="true">
      <alignment horizontal="right" vertical="top" textRotation="0" wrapText="true" indent="0" shrinkToFit="false"/>
      <protection locked="true" hidden="false"/>
    </xf>
    <xf numFmtId="185" fontId="29" fillId="0" borderId="0" xfId="21" applyFont="true" applyBorder="false" applyAlignment="true" applyProtection="true">
      <alignment horizontal="right" vertical="top" textRotation="0" wrapText="true" indent="0" shrinkToFit="false"/>
      <protection locked="true" hidden="false"/>
    </xf>
    <xf numFmtId="185" fontId="31" fillId="10" borderId="0" xfId="21" applyFont="true" applyBorder="false" applyAlignment="true" applyProtection="true">
      <alignment horizontal="right" vertical="bottom" textRotation="0" wrapText="true" indent="0" shrinkToFit="false"/>
      <protection locked="true" hidden="false"/>
    </xf>
    <xf numFmtId="164" fontId="35" fillId="0" borderId="0" xfId="21" applyFont="true" applyBorder="false" applyAlignment="true" applyProtection="true">
      <alignment horizontal="general" vertical="bottom" textRotation="0" wrapText="false" indent="0" shrinkToFit="false"/>
      <protection locked="true" hidden="false"/>
    </xf>
    <xf numFmtId="186" fontId="25" fillId="0" borderId="0" xfId="21" applyFont="true" applyBorder="false" applyAlignment="true" applyProtection="true">
      <alignment horizontal="center" vertical="center" textRotation="0" wrapText="false" indent="0" shrinkToFit="false"/>
      <protection locked="true" hidden="false"/>
    </xf>
    <xf numFmtId="186" fontId="25" fillId="0" borderId="0" xfId="21" applyFont="true" applyBorder="false" applyAlignment="true" applyProtection="true">
      <alignment horizontal="center" vertical="bottom" textRotation="0" wrapText="false" indent="0" shrinkToFit="false"/>
      <protection locked="true" hidden="false"/>
    </xf>
    <xf numFmtId="164" fontId="27" fillId="0" borderId="0" xfId="21" applyFont="true" applyBorder="false" applyAlignment="true" applyProtection="true">
      <alignment horizontal="general" vertical="bottom" textRotation="0" wrapText="false" indent="0" shrinkToFit="false"/>
      <protection locked="true" hidden="false"/>
    </xf>
    <xf numFmtId="181" fontId="36" fillId="0" borderId="0" xfId="21" applyFont="true" applyBorder="false" applyAlignment="true" applyProtection="true">
      <alignment horizontal="right" vertical="top" textRotation="0" wrapText="true" indent="0" shrinkToFit="false"/>
      <protection locked="true" hidden="false"/>
    </xf>
    <xf numFmtId="181" fontId="34" fillId="0" borderId="0" xfId="21" applyFont="true" applyBorder="false" applyAlignment="true" applyProtection="true">
      <alignment horizontal="right" vertical="top" textRotation="0" wrapText="true" indent="0" shrinkToFit="false"/>
      <protection locked="true" hidden="false"/>
    </xf>
    <xf numFmtId="187" fontId="29" fillId="0" borderId="0" xfId="21" applyFont="true" applyBorder="false" applyAlignment="true" applyProtection="true">
      <alignment horizontal="right" vertical="top" textRotation="0" wrapText="true" indent="0" shrinkToFit="false"/>
      <protection locked="true" hidden="false"/>
    </xf>
    <xf numFmtId="164" fontId="31" fillId="10" borderId="0" xfId="21" applyFont="true" applyBorder="true" applyAlignment="true" applyProtection="true">
      <alignment horizontal="center" vertical="bottom" textRotation="0" wrapText="true" indent="0" shrinkToFit="false"/>
      <protection locked="true" hidden="false"/>
    </xf>
    <xf numFmtId="164" fontId="28" fillId="10" borderId="0" xfId="21" applyFont="true" applyBorder="true" applyAlignment="true" applyProtection="true">
      <alignment horizontal="center" vertical="bottom" textRotation="0" wrapText="true" indent="0" shrinkToFit="false"/>
      <protection locked="true" hidden="false"/>
    </xf>
    <xf numFmtId="164" fontId="37" fillId="10" borderId="0" xfId="21" applyFont="true" applyBorder="false" applyAlignment="true" applyProtection="true">
      <alignment horizontal="right" vertical="bottom" textRotation="0" wrapText="true" indent="0" shrinkToFit="false"/>
      <protection locked="true" hidden="false"/>
    </xf>
    <xf numFmtId="164" fontId="28" fillId="10" borderId="0" xfId="21" applyFont="true" applyBorder="false" applyAlignment="true" applyProtection="true">
      <alignment horizontal="right" vertical="bottom" textRotation="0" wrapText="true" indent="0" shrinkToFit="false"/>
      <protection locked="true" hidden="false"/>
    </xf>
    <xf numFmtId="164" fontId="29" fillId="0" borderId="0" xfId="21" applyFont="true" applyBorder="false" applyAlignment="true" applyProtection="true">
      <alignment horizontal="general" vertical="top" textRotation="0" wrapText="true" indent="0" shrinkToFit="false"/>
      <protection locked="true" hidden="false"/>
    </xf>
    <xf numFmtId="164" fontId="25" fillId="0" borderId="0" xfId="21" applyFont="true" applyBorder="false" applyAlignment="true" applyProtection="true">
      <alignment horizontal="left" vertical="bottom" textRotation="0" wrapText="false" indent="0" shrinkToFit="false"/>
      <protection locked="true" hidden="false"/>
    </xf>
    <xf numFmtId="182" fontId="27" fillId="0" borderId="0" xfId="21" applyFont="true" applyBorder="false" applyAlignment="true" applyProtection="true">
      <alignment horizontal="right" vertical="bottom" textRotation="0" wrapText="false" indent="0" shrinkToFit="false"/>
      <protection locked="true" hidden="false"/>
    </xf>
    <xf numFmtId="181" fontId="25" fillId="0" borderId="0" xfId="21" applyFont="true" applyBorder="false" applyAlignment="true" applyProtection="true">
      <alignment horizontal="right" vertical="bottom" textRotation="0" wrapText="false" indent="0" shrinkToFit="false"/>
      <protection locked="true" hidden="false"/>
    </xf>
    <xf numFmtId="182" fontId="32" fillId="0" borderId="0" xfId="21" applyFont="true" applyBorder="false" applyAlignment="true" applyProtection="true">
      <alignment horizontal="right" vertical="top" textRotation="0" wrapText="true" indent="0" shrinkToFit="false"/>
      <protection locked="true" hidden="false"/>
    </xf>
    <xf numFmtId="182" fontId="37" fillId="0" borderId="0" xfId="21" applyFont="true" applyBorder="false" applyAlignment="true" applyProtection="true">
      <alignment horizontal="right" vertical="bottom" textRotation="0" wrapText="false" indent="0" shrinkToFit="false"/>
      <protection locked="true" hidden="false"/>
    </xf>
    <xf numFmtId="181" fontId="28" fillId="0" borderId="0" xfId="21" applyFont="true" applyBorder="false" applyAlignment="true" applyProtection="true">
      <alignment horizontal="right" vertical="bottom" textRotation="0" wrapText="false" indent="0" shrinkToFit="false"/>
      <protection locked="true" hidden="false"/>
    </xf>
    <xf numFmtId="188" fontId="33" fillId="0" borderId="0" xfId="21" applyFont="true" applyBorder="false" applyAlignment="true" applyProtection="true">
      <alignment horizontal="right" vertical="top" textRotation="0" wrapText="true" indent="0" shrinkToFit="false"/>
      <protection locked="true" hidden="false"/>
    </xf>
    <xf numFmtId="188" fontId="27" fillId="0" borderId="0" xfId="21" applyFont="true" applyBorder="false" applyAlignment="true" applyProtection="true">
      <alignment horizontal="right" vertical="bottom" textRotation="0" wrapText="false" indent="0" shrinkToFit="false"/>
      <protection locked="true" hidden="false"/>
    </xf>
    <xf numFmtId="179" fontId="25" fillId="0" borderId="0" xfId="21" applyFont="true" applyBorder="false" applyAlignment="true" applyProtection="true">
      <alignment horizontal="right" vertical="bottom" textRotation="0" wrapText="false" indent="0" shrinkToFit="false"/>
      <protection locked="true" hidden="false"/>
    </xf>
    <xf numFmtId="189" fontId="29" fillId="0" borderId="0" xfId="21" applyFont="true" applyBorder="false" applyAlignment="true" applyProtection="true">
      <alignment horizontal="right" vertical="top" textRotation="0" wrapText="true" indent="0" shrinkToFit="false"/>
      <protection locked="true" hidden="false"/>
    </xf>
    <xf numFmtId="189" fontId="25" fillId="0" borderId="0" xfId="21" applyFont="true" applyBorder="false" applyAlignment="true" applyProtection="true">
      <alignment horizontal="right" vertical="bottom" textRotation="0" wrapText="false" indent="0" shrinkToFit="false"/>
      <protection locked="true" hidden="false"/>
    </xf>
    <xf numFmtId="185" fontId="25" fillId="0" borderId="0" xfId="21" applyFont="true" applyBorder="false" applyAlignment="true" applyProtection="true">
      <alignment horizontal="right" vertical="bottom" textRotation="0" wrapText="false" indent="0" shrinkToFit="false"/>
      <protection locked="true" hidden="false"/>
    </xf>
    <xf numFmtId="164" fontId="18" fillId="11" borderId="13" xfId="0" applyFont="true" applyBorder="true" applyAlignment="true" applyProtection="true">
      <alignment horizontal="center" vertical="bottom" textRotation="0" wrapText="false" indent="0" shrinkToFit="false"/>
      <protection locked="true" hidden="false"/>
    </xf>
    <xf numFmtId="164" fontId="18" fillId="6" borderId="13" xfId="0" applyFont="true" applyBorder="true" applyAlignment="true" applyProtection="true">
      <alignment horizontal="center" vertical="bottom" textRotation="0" wrapText="false" indent="0" shrinkToFit="false"/>
      <protection locked="true" hidden="false"/>
    </xf>
    <xf numFmtId="170" fontId="11" fillId="6" borderId="13" xfId="0" applyFont="true" applyBorder="true" applyAlignment="true" applyProtection="true">
      <alignment horizontal="center" vertical="bottom" textRotation="0" wrapText="false" indent="0" shrinkToFit="false"/>
      <protection locked="true" hidden="false"/>
    </xf>
    <xf numFmtId="190" fontId="6" fillId="6" borderId="13" xfId="0" applyFont="true" applyBorder="true" applyAlignment="true" applyProtection="true">
      <alignment horizontal="center" vertical="bottom" textRotation="0" wrapText="false" indent="0" shrinkToFit="false"/>
      <protection locked="true" hidden="false"/>
    </xf>
    <xf numFmtId="176" fontId="11" fillId="6" borderId="13" xfId="0" applyFont="true" applyBorder="true" applyAlignment="true" applyProtection="true">
      <alignment horizontal="center" vertical="bottom" textRotation="0" wrapText="false" indent="0" shrinkToFit="false"/>
      <protection locked="true" hidden="false"/>
    </xf>
    <xf numFmtId="164" fontId="0" fillId="6" borderId="0" xfId="0" applyFont="false" applyBorder="false" applyAlignment="true" applyProtection="tru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Invisible" xfId="20"/>
    <cellStyle name="Normal 2" xfId="2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5B9BD5"/>
      <rgbColor rgb="FF993366"/>
      <rgbColor rgb="FFFFFFCC"/>
      <rgbColor rgb="FFE7E6E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FFF2CC"/>
      <rgbColor rgb="FFFFFF99"/>
      <rgbColor rgb="FF99CCFF"/>
      <rgbColor rgb="FFFF99CC"/>
      <rgbColor rgb="FFCC99FF"/>
      <rgbColor rgb="FFFFCC99"/>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_rels/drawing5.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0</xdr:col>
      <xdr:colOff>753840</xdr:colOff>
      <xdr:row>2</xdr:row>
      <xdr:rowOff>68040</xdr:rowOff>
    </xdr:to>
    <xdr:pic>
      <xdr:nvPicPr>
        <xdr:cNvPr id="0" name="Picture 2" descr=""/>
        <xdr:cNvPicPr/>
      </xdr:nvPicPr>
      <xdr:blipFill>
        <a:blip r:embed="rId1"/>
        <a:stretch/>
      </xdr:blipFill>
      <xdr:spPr>
        <a:xfrm>
          <a:off x="0" y="0"/>
          <a:ext cx="753840" cy="334800"/>
        </a:xfrm>
        <a:prstGeom prst="rect">
          <a:avLst/>
        </a:prstGeom>
        <a:ln w="0">
          <a:noFill/>
        </a:ln>
      </xdr:spPr>
    </xdr:pic>
    <xdr:clientData/>
  </xdr:twoCellAnchor>
  <xdr:twoCellAnchor editAs="twoCell">
    <xdr:from>
      <xdr:col>0</xdr:col>
      <xdr:colOff>15120</xdr:colOff>
      <xdr:row>65</xdr:row>
      <xdr:rowOff>542880</xdr:rowOff>
    </xdr:from>
    <xdr:to>
      <xdr:col>3</xdr:col>
      <xdr:colOff>471600</xdr:colOff>
      <xdr:row>65</xdr:row>
      <xdr:rowOff>2066040</xdr:rowOff>
    </xdr:to>
    <xdr:pic>
      <xdr:nvPicPr>
        <xdr:cNvPr id="1" name="Picture 3" descr=""/>
        <xdr:cNvPicPr/>
      </xdr:nvPicPr>
      <xdr:blipFill>
        <a:blip r:embed="rId2"/>
        <a:stretch/>
      </xdr:blipFill>
      <xdr:spPr>
        <a:xfrm>
          <a:off x="15120" y="9963000"/>
          <a:ext cx="7167240" cy="15231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0</xdr:col>
      <xdr:colOff>753840</xdr:colOff>
      <xdr:row>2</xdr:row>
      <xdr:rowOff>68040</xdr:rowOff>
    </xdr:to>
    <xdr:pic>
      <xdr:nvPicPr>
        <xdr:cNvPr id="2" name="Picture 2" descr=""/>
        <xdr:cNvPicPr/>
      </xdr:nvPicPr>
      <xdr:blipFill>
        <a:blip r:embed="rId1"/>
        <a:stretch/>
      </xdr:blipFill>
      <xdr:spPr>
        <a:xfrm>
          <a:off x="0" y="0"/>
          <a:ext cx="753840" cy="33480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0</xdr:col>
      <xdr:colOff>753840</xdr:colOff>
      <xdr:row>2</xdr:row>
      <xdr:rowOff>68040</xdr:rowOff>
    </xdr:to>
    <xdr:pic>
      <xdr:nvPicPr>
        <xdr:cNvPr id="3" name="Picture 2" descr=""/>
        <xdr:cNvPicPr/>
      </xdr:nvPicPr>
      <xdr:blipFill>
        <a:blip r:embed="rId1"/>
        <a:stretch/>
      </xdr:blipFill>
      <xdr:spPr>
        <a:xfrm>
          <a:off x="0" y="0"/>
          <a:ext cx="753840" cy="33480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0</xdr:col>
      <xdr:colOff>753840</xdr:colOff>
      <xdr:row>2</xdr:row>
      <xdr:rowOff>68040</xdr:rowOff>
    </xdr:to>
    <xdr:pic>
      <xdr:nvPicPr>
        <xdr:cNvPr id="4" name="Picture 2" descr=""/>
        <xdr:cNvPicPr/>
      </xdr:nvPicPr>
      <xdr:blipFill>
        <a:blip r:embed="rId1"/>
        <a:stretch/>
      </xdr:blipFill>
      <xdr:spPr>
        <a:xfrm>
          <a:off x="0" y="0"/>
          <a:ext cx="753840" cy="33480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0</xdr:col>
      <xdr:colOff>753840</xdr:colOff>
      <xdr:row>2</xdr:row>
      <xdr:rowOff>68040</xdr:rowOff>
    </xdr:to>
    <xdr:pic>
      <xdr:nvPicPr>
        <xdr:cNvPr id="5" name="Picture 2" descr=""/>
        <xdr:cNvPicPr/>
      </xdr:nvPicPr>
      <xdr:blipFill>
        <a:blip r:embed="rId1"/>
        <a:stretch/>
      </xdr:blipFill>
      <xdr:spPr>
        <a:xfrm>
          <a:off x="0" y="0"/>
          <a:ext cx="753840" cy="33480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drawing" Target="../drawings/drawing4.xml"/>
</Relationships>
</file>

<file path=xl/worksheets/_rels/sheet10.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T10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K18" activeCellId="0" sqref="K18"/>
    </sheetView>
  </sheetViews>
  <sheetFormatPr defaultColWidth="9.16015625" defaultRowHeight="13.5" zeroHeight="false" outlineLevelRow="0" outlineLevelCol="0"/>
  <cols>
    <col collapsed="false" customWidth="true" hidden="false" outlineLevel="0" max="2" min="1" style="1" width="10.66"/>
    <col collapsed="false" customWidth="true" hidden="false" outlineLevel="0" max="3" min="3" style="1" width="42.16"/>
    <col collapsed="false" customWidth="true" hidden="false" outlineLevel="0" max="4" min="4" style="2" width="10.66"/>
    <col collapsed="false" customWidth="true" hidden="false" outlineLevel="0" max="5" min="5" style="3" width="10.83"/>
    <col collapsed="false" customWidth="true" hidden="false" outlineLevel="0" max="6" min="6" style="1" width="17.5"/>
    <col collapsed="false" customWidth="true" hidden="false" outlineLevel="0" max="8" min="7" style="4" width="10.66"/>
    <col collapsed="false" customWidth="true" hidden="false" outlineLevel="0" max="9" min="9" style="4" width="11.16"/>
    <col collapsed="false" customWidth="true" hidden="false" outlineLevel="0" max="10" min="10" style="4" width="3.5"/>
    <col collapsed="false" customWidth="true" hidden="false" outlineLevel="0" max="12" min="11" style="4" width="10.66"/>
    <col collapsed="false" customWidth="true" hidden="false" outlineLevel="0" max="13" min="13" style="1" width="7.5"/>
    <col collapsed="false" customWidth="true" hidden="false" outlineLevel="0" max="14" min="14" style="1" width="12"/>
    <col collapsed="false" customWidth="true" hidden="false" outlineLevel="0" max="15" min="15" style="1" width="10.66"/>
    <col collapsed="false" customWidth="false" hidden="false" outlineLevel="0" max="16384" min="16" style="1" width="9.16"/>
  </cols>
  <sheetData>
    <row r="1" customFormat="false" ht="13.8" hidden="false" customHeight="false" outlineLevel="0" collapsed="false">
      <c r="F1" s="2"/>
      <c r="G1" s="2"/>
      <c r="H1" s="2"/>
      <c r="I1" s="3"/>
      <c r="J1" s="1"/>
      <c r="M1" s="4"/>
      <c r="N1" s="4"/>
      <c r="O1" s="4"/>
      <c r="P1" s="4"/>
    </row>
    <row r="2" customFormat="false" ht="13.8" hidden="false" customHeight="false" outlineLevel="0" collapsed="false">
      <c r="C2" s="5" t="s">
        <v>0</v>
      </c>
      <c r="D2" s="6"/>
      <c r="F2" s="6"/>
      <c r="G2" s="6"/>
      <c r="H2" s="6"/>
      <c r="I2" s="7"/>
      <c r="J2" s="5"/>
      <c r="K2" s="8"/>
      <c r="L2" s="8"/>
      <c r="M2" s="8"/>
      <c r="N2" s="8"/>
      <c r="O2" s="8"/>
      <c r="P2" s="8"/>
      <c r="Q2" s="5"/>
      <c r="R2" s="5"/>
      <c r="S2" s="5"/>
    </row>
    <row r="3" customFormat="false" ht="13.8" hidden="false" customHeight="false" outlineLevel="0" collapsed="false">
      <c r="C3" s="5" t="s">
        <v>1</v>
      </c>
      <c r="D3" s="9" t="s">
        <v>2</v>
      </c>
      <c r="F3" s="10"/>
      <c r="G3" s="10"/>
      <c r="H3" s="10"/>
      <c r="I3" s="7"/>
      <c r="R3" s="5"/>
      <c r="S3" s="5"/>
    </row>
    <row r="4" customFormat="false" ht="13.8" hidden="false" customHeight="false" outlineLevel="0" collapsed="false">
      <c r="C4" s="5"/>
      <c r="D4" s="6"/>
      <c r="F4" s="6"/>
      <c r="G4" s="6"/>
      <c r="H4" s="6"/>
      <c r="I4" s="7"/>
      <c r="R4" s="5"/>
      <c r="S4" s="5"/>
    </row>
    <row r="5" customFormat="false" ht="13.8" hidden="false" customHeight="false" outlineLevel="0" collapsed="false">
      <c r="C5" s="11" t="s">
        <v>3</v>
      </c>
      <c r="D5" s="12"/>
    </row>
    <row r="6" customFormat="false" ht="13.8" hidden="false" customHeight="false" outlineLevel="0" collapsed="false">
      <c r="C6" s="5" t="s">
        <v>4</v>
      </c>
      <c r="D6" s="13" t="n">
        <v>8.9</v>
      </c>
    </row>
    <row r="7" customFormat="false" ht="13.8" hidden="false" customHeight="false" outlineLevel="0" collapsed="false">
      <c r="C7" s="5" t="s">
        <v>5</v>
      </c>
      <c r="D7" s="14" t="n">
        <f aca="false">D30</f>
        <v>123.5</v>
      </c>
    </row>
    <row r="8" customFormat="false" ht="13.8" hidden="false" customHeight="false" outlineLevel="0" collapsed="false">
      <c r="C8" s="5" t="s">
        <v>6</v>
      </c>
      <c r="D8" s="15" t="n">
        <f aca="false">D6*D7</f>
        <v>1099.15</v>
      </c>
    </row>
    <row r="9" customFormat="false" ht="13.8" hidden="false" customHeight="false" outlineLevel="0" collapsed="false">
      <c r="C9" s="5" t="s">
        <v>7</v>
      </c>
      <c r="D9" s="14" t="n">
        <v>486</v>
      </c>
    </row>
    <row r="10" customFormat="false" ht="13.8" hidden="false" customHeight="false" outlineLevel="0" collapsed="false">
      <c r="C10" s="5" t="s">
        <v>8</v>
      </c>
      <c r="D10" s="16" t="n">
        <f aca="false">D8-D9</f>
        <v>613.15</v>
      </c>
    </row>
    <row r="11" customFormat="false" ht="13.8" hidden="false" customHeight="false" outlineLevel="0" collapsed="false">
      <c r="C11" s="5" t="s">
        <v>9</v>
      </c>
      <c r="D11" s="17" t="n">
        <v>5</v>
      </c>
    </row>
    <row r="12" customFormat="false" ht="13.8" hidden="false" customHeight="false" outlineLevel="0" collapsed="false">
      <c r="C12" s="5" t="s">
        <v>10</v>
      </c>
      <c r="D12" s="18" t="n">
        <v>4.25</v>
      </c>
    </row>
    <row r="13" customFormat="false" ht="13.8" hidden="false" customHeight="false" outlineLevel="0" collapsed="false">
      <c r="C13" s="5" t="s">
        <v>11</v>
      </c>
      <c r="D13" s="19" t="n">
        <v>0.05</v>
      </c>
    </row>
    <row r="14" customFormat="false" ht="13.8" hidden="false" customHeight="false" outlineLevel="0" collapsed="false">
      <c r="C14" s="5" t="s">
        <v>12</v>
      </c>
      <c r="D14" s="9" t="n">
        <v>0.03</v>
      </c>
    </row>
    <row r="15" customFormat="false" ht="13.8" hidden="false" customHeight="false" outlineLevel="0" collapsed="false">
      <c r="C15" s="5"/>
      <c r="D15" s="6"/>
    </row>
    <row r="16" customFormat="false" ht="13.8" hidden="false" customHeight="false" outlineLevel="0" collapsed="false">
      <c r="C16" s="20" t="s">
        <v>13</v>
      </c>
      <c r="D16" s="21"/>
      <c r="E16" s="22"/>
      <c r="F16" s="23"/>
      <c r="G16" s="24"/>
      <c r="H16" s="23"/>
      <c r="I16" s="23"/>
    </row>
    <row r="17" customFormat="false" ht="13.8" hidden="false" customHeight="false" outlineLevel="0" collapsed="false">
      <c r="I17" s="7"/>
    </row>
    <row r="18" customFormat="false" ht="13.8" hidden="false" customHeight="false" outlineLevel="0" collapsed="false">
      <c r="C18" s="11" t="s">
        <v>14</v>
      </c>
      <c r="D18" s="12"/>
      <c r="F18" s="11" t="s">
        <v>15</v>
      </c>
      <c r="G18" s="12"/>
      <c r="H18" s="12"/>
      <c r="I18" s="12"/>
      <c r="K18" s="25" t="n">
        <v>45555</v>
      </c>
      <c r="L18" s="1"/>
    </row>
    <row r="19" customFormat="false" ht="13.8" hidden="false" customHeight="false" outlineLevel="0" collapsed="false">
      <c r="A19" s="26"/>
      <c r="B19" s="27"/>
      <c r="C19" s="5" t="s">
        <v>16</v>
      </c>
      <c r="D19" s="28" t="n">
        <v>0</v>
      </c>
      <c r="F19" s="5" t="s">
        <v>17</v>
      </c>
      <c r="I19" s="16" t="n">
        <f aca="false">D10</f>
        <v>613.15</v>
      </c>
      <c r="K19" s="27" t="s">
        <v>18</v>
      </c>
      <c r="L19" s="27" t="s">
        <v>19</v>
      </c>
    </row>
    <row r="20" customFormat="false" ht="13.8" hidden="false" customHeight="false" outlineLevel="0" collapsed="false">
      <c r="A20" s="26"/>
      <c r="B20" s="27"/>
      <c r="C20" s="5" t="s">
        <v>20</v>
      </c>
      <c r="D20" s="16" t="n">
        <f aca="false">$D$12*$D$7</f>
        <v>524.875</v>
      </c>
      <c r="F20" s="5" t="s">
        <v>21</v>
      </c>
      <c r="I20" s="16" t="n">
        <f aca="false">D9</f>
        <v>486</v>
      </c>
      <c r="K20" s="29" t="n">
        <v>0.0533</v>
      </c>
      <c r="L20" s="29" t="n">
        <v>0.0425</v>
      </c>
      <c r="R20" s="30"/>
      <c r="S20" s="30"/>
      <c r="T20" s="30"/>
    </row>
    <row r="21" customFormat="false" ht="13.8" hidden="false" customHeight="false" outlineLevel="0" collapsed="false">
      <c r="C21" s="5" t="s">
        <v>11</v>
      </c>
      <c r="D21" s="16" t="n">
        <f aca="false">$D$10*$D$13</f>
        <v>30.6575</v>
      </c>
      <c r="F21" s="5" t="s">
        <v>22</v>
      </c>
      <c r="I21" s="16" t="n">
        <f aca="false">$D$8*$D$14</f>
        <v>32.9745</v>
      </c>
      <c r="K21" s="29" t="n">
        <v>0.0533</v>
      </c>
      <c r="L21" s="29" t="n">
        <v>0.0475</v>
      </c>
      <c r="R21" s="30"/>
      <c r="S21" s="30"/>
      <c r="T21" s="30"/>
    </row>
    <row r="22" customFormat="false" ht="13.8" hidden="false" customHeight="false" outlineLevel="0" collapsed="false">
      <c r="B22" s="26"/>
      <c r="C22" s="5" t="s">
        <v>23</v>
      </c>
      <c r="D22" s="16" t="n">
        <f aca="false">D23-SUM(D19:D21)</f>
        <v>576.592</v>
      </c>
      <c r="K22" s="1"/>
      <c r="L22" s="31"/>
      <c r="R22" s="5"/>
      <c r="S22" s="5"/>
    </row>
    <row r="23" customFormat="false" ht="13.8" hidden="false" customHeight="false" outlineLevel="0" collapsed="false">
      <c r="C23" s="11" t="s">
        <v>24</v>
      </c>
      <c r="D23" s="32" t="n">
        <f aca="false">I23</f>
        <v>1132.1245</v>
      </c>
      <c r="F23" s="11" t="s">
        <v>25</v>
      </c>
      <c r="G23" s="12"/>
      <c r="H23" s="12"/>
      <c r="I23" s="32" t="n">
        <f aca="false">I19+I20+I21</f>
        <v>1132.1245</v>
      </c>
      <c r="R23" s="33"/>
      <c r="S23" s="33"/>
    </row>
    <row r="24" customFormat="false" ht="13.8" hidden="false" customHeight="false" outlineLevel="0" collapsed="false">
      <c r="R24" s="34"/>
      <c r="S24" s="34"/>
    </row>
    <row r="25" customFormat="false" ht="13.8" hidden="false" customHeight="false" outlineLevel="0" collapsed="false">
      <c r="R25" s="34"/>
      <c r="S25" s="34"/>
    </row>
    <row r="26" customFormat="false" ht="13.8" hidden="false" customHeight="false" outlineLevel="0" collapsed="false">
      <c r="C26" s="35"/>
      <c r="D26" s="36" t="s">
        <v>26</v>
      </c>
      <c r="E26" s="37" t="s">
        <v>27</v>
      </c>
      <c r="F26" s="37"/>
      <c r="G26" s="37"/>
      <c r="H26" s="37"/>
      <c r="I26" s="37"/>
      <c r="J26" s="5"/>
      <c r="R26" s="34"/>
      <c r="S26" s="34"/>
    </row>
    <row r="27" customFormat="false" ht="13.8" hidden="false" customHeight="false" outlineLevel="0" collapsed="false">
      <c r="C27" s="38" t="s">
        <v>28</v>
      </c>
      <c r="D27" s="39" t="n">
        <v>2014</v>
      </c>
      <c r="E27" s="36" t="n">
        <f aca="false">D27+1</f>
        <v>2015</v>
      </c>
      <c r="F27" s="40" t="n">
        <f aca="false">+E27+1</f>
        <v>2016</v>
      </c>
      <c r="G27" s="40" t="n">
        <f aca="false">+F27+1</f>
        <v>2017</v>
      </c>
      <c r="H27" s="40" t="n">
        <f aca="false">+G27+1</f>
        <v>2018</v>
      </c>
      <c r="I27" s="40" t="n">
        <f aca="false">+H27+1</f>
        <v>2019</v>
      </c>
      <c r="J27" s="5"/>
      <c r="R27" s="34"/>
      <c r="S27" s="34"/>
    </row>
    <row r="28" customFormat="false" ht="13.8" hidden="false" customHeight="false" outlineLevel="0" collapsed="false">
      <c r="C28" s="5" t="s">
        <v>29</v>
      </c>
      <c r="D28" s="28" t="n">
        <v>650</v>
      </c>
      <c r="E28" s="41" t="n">
        <f aca="false">D28*(1+E29)</f>
        <v>708.5</v>
      </c>
      <c r="F28" s="16" t="n">
        <f aca="false">E28*(1+F29)</f>
        <v>772.265</v>
      </c>
      <c r="G28" s="16" t="n">
        <f aca="false">F28*(1+G29)</f>
        <v>841.76885</v>
      </c>
      <c r="H28" s="16" t="n">
        <f aca="false">G28*(1+H29)</f>
        <v>917.5280465</v>
      </c>
      <c r="I28" s="16" t="n">
        <f aca="false">H28*(1+I29)</f>
        <v>1000.105570685</v>
      </c>
      <c r="J28" s="5"/>
      <c r="R28" s="34"/>
      <c r="S28" s="34"/>
    </row>
    <row r="29" customFormat="false" ht="13.8" hidden="false" customHeight="false" outlineLevel="0" collapsed="false">
      <c r="C29" s="42" t="s">
        <v>30</v>
      </c>
      <c r="D29" s="43" t="n">
        <v>0.081</v>
      </c>
      <c r="E29" s="44" t="n">
        <v>0.09</v>
      </c>
      <c r="F29" s="45" t="n">
        <v>0.09</v>
      </c>
      <c r="G29" s="45" t="n">
        <v>0.09</v>
      </c>
      <c r="H29" s="45" t="n">
        <v>0.09</v>
      </c>
      <c r="I29" s="45" t="n">
        <v>0.09</v>
      </c>
      <c r="J29" s="5"/>
      <c r="R29" s="34"/>
      <c r="S29" s="34"/>
    </row>
    <row r="30" customFormat="false" ht="13.8" hidden="false" customHeight="false" outlineLevel="0" collapsed="false">
      <c r="C30" s="5" t="s">
        <v>5</v>
      </c>
      <c r="D30" s="28" t="n">
        <v>123.5</v>
      </c>
      <c r="E30" s="46" t="n">
        <f aca="false">E28*E31</f>
        <v>141.7</v>
      </c>
      <c r="F30" s="16" t="n">
        <f aca="false">F28*F31</f>
        <v>162.17565</v>
      </c>
      <c r="G30" s="16" t="n">
        <f aca="false">G28*G31</f>
        <v>176.7714585</v>
      </c>
      <c r="H30" s="16" t="n">
        <f aca="false">H28*H31</f>
        <v>192.680889765</v>
      </c>
      <c r="I30" s="16" t="n">
        <f aca="false">I28*I31</f>
        <v>210.02216984385</v>
      </c>
      <c r="J30" s="5"/>
      <c r="R30" s="47"/>
      <c r="S30" s="47"/>
    </row>
    <row r="31" customFormat="false" ht="13.8" hidden="false" customHeight="false" outlineLevel="0" collapsed="false">
      <c r="C31" s="42" t="s">
        <v>31</v>
      </c>
      <c r="D31" s="48" t="n">
        <f aca="false">D30/D28</f>
        <v>0.19</v>
      </c>
      <c r="E31" s="44" t="n">
        <v>0.2</v>
      </c>
      <c r="F31" s="45" t="n">
        <v>0.21</v>
      </c>
      <c r="G31" s="45" t="n">
        <v>0.21</v>
      </c>
      <c r="H31" s="45" t="n">
        <v>0.21</v>
      </c>
      <c r="I31" s="45" t="n">
        <v>0.21</v>
      </c>
      <c r="J31" s="5"/>
      <c r="R31" s="47"/>
      <c r="S31" s="47"/>
    </row>
    <row r="32" customFormat="false" ht="13.8" hidden="false" customHeight="false" outlineLevel="0" collapsed="false">
      <c r="C32" s="49" t="s">
        <v>32</v>
      </c>
      <c r="D32" s="28" t="n">
        <v>30</v>
      </c>
      <c r="E32" s="46" t="n">
        <f aca="false">E44</f>
        <v>32.7</v>
      </c>
      <c r="F32" s="16" t="n">
        <f aca="false">F44</f>
        <v>35.643</v>
      </c>
      <c r="G32" s="16" t="n">
        <f aca="false">G44</f>
        <v>38.85087</v>
      </c>
      <c r="H32" s="16" t="n">
        <f aca="false">H44</f>
        <v>42.3474483</v>
      </c>
      <c r="I32" s="16" t="n">
        <f aca="false">I44</f>
        <v>46.1587186470001</v>
      </c>
      <c r="J32" s="5"/>
      <c r="R32" s="47"/>
      <c r="S32" s="47"/>
    </row>
    <row r="33" customFormat="false" ht="13.8" hidden="false" customHeight="false" outlineLevel="0" collapsed="false">
      <c r="C33" s="50" t="s">
        <v>33</v>
      </c>
      <c r="D33" s="48" t="n">
        <f aca="false">D32/$D$44</f>
        <v>1</v>
      </c>
      <c r="E33" s="51" t="n">
        <f aca="false">E32/E44</f>
        <v>1</v>
      </c>
      <c r="F33" s="52" t="n">
        <f aca="false">F32/F44</f>
        <v>1</v>
      </c>
      <c r="G33" s="52" t="n">
        <f aca="false">G32/G44</f>
        <v>1</v>
      </c>
      <c r="H33" s="52" t="n">
        <f aca="false">H32/H44</f>
        <v>1</v>
      </c>
      <c r="I33" s="52" t="n">
        <f aca="false">I32/I44</f>
        <v>1</v>
      </c>
      <c r="J33" s="5"/>
      <c r="R33" s="47"/>
      <c r="S33" s="47"/>
    </row>
    <row r="34" customFormat="false" ht="13.8" hidden="false" customHeight="false" outlineLevel="0" collapsed="false">
      <c r="C34" s="49" t="s">
        <v>34</v>
      </c>
      <c r="D34" s="28" t="n">
        <v>74.8</v>
      </c>
      <c r="E34" s="46" t="n">
        <f aca="false">E30-E32</f>
        <v>109</v>
      </c>
      <c r="F34" s="16" t="n">
        <f aca="false">F30-F32</f>
        <v>126.53265</v>
      </c>
      <c r="G34" s="16" t="n">
        <f aca="false">G30-G32</f>
        <v>137.9205885</v>
      </c>
      <c r="H34" s="16" t="n">
        <f aca="false">H30-H32</f>
        <v>150.333441465</v>
      </c>
      <c r="I34" s="16" t="n">
        <f aca="false">I30-I32</f>
        <v>163.86345119685</v>
      </c>
      <c r="J34" s="5"/>
    </row>
    <row r="35" customFormat="false" ht="13.5" hidden="false" customHeight="true" outlineLevel="0" collapsed="false">
      <c r="C35" s="50" t="s">
        <v>31</v>
      </c>
      <c r="D35" s="53" t="n">
        <f aca="false">D34/D28</f>
        <v>0.115076923076923</v>
      </c>
      <c r="E35" s="54" t="n">
        <f aca="false">E34/E28</f>
        <v>0.153846153846154</v>
      </c>
      <c r="F35" s="53" t="n">
        <f aca="false">F34/F28</f>
        <v>0.163846153846154</v>
      </c>
      <c r="G35" s="53" t="n">
        <f aca="false">G34/G28</f>
        <v>0.163846153846154</v>
      </c>
      <c r="H35" s="53" t="n">
        <f aca="false">H34/H28</f>
        <v>0.163846153846154</v>
      </c>
      <c r="I35" s="53" t="n">
        <f aca="false">I34/I28</f>
        <v>0.163846153846154</v>
      </c>
      <c r="J35" s="5"/>
    </row>
    <row r="36" customFormat="false" ht="13.5" hidden="false" customHeight="false" outlineLevel="0" collapsed="false">
      <c r="C36" s="49" t="s">
        <v>35</v>
      </c>
      <c r="D36" s="55" t="s">
        <v>36</v>
      </c>
      <c r="E36" s="56" t="n">
        <f aca="false">E63</f>
        <v>50.9397493244648</v>
      </c>
      <c r="F36" s="57" t="n">
        <f aca="false">F63</f>
        <v>46.1823152057052</v>
      </c>
      <c r="G36" s="57" t="n">
        <f aca="false">G63</f>
        <v>39.9593266038878</v>
      </c>
      <c r="H36" s="57" t="n">
        <f aca="false">H63</f>
        <v>32.3607603904541</v>
      </c>
      <c r="I36" s="57" t="n">
        <f aca="false">I63</f>
        <v>23.1987401124815</v>
      </c>
      <c r="J36" s="5"/>
    </row>
    <row r="37" customFormat="false" ht="24.75" hidden="false" customHeight="true" outlineLevel="0" collapsed="false">
      <c r="C37" s="49" t="s">
        <v>37</v>
      </c>
      <c r="D37" s="28" t="n">
        <v>23.4</v>
      </c>
      <c r="E37" s="56" t="n">
        <f aca="false">E34-E36</f>
        <v>58.0602506755352</v>
      </c>
      <c r="F37" s="57" t="n">
        <f aca="false">F34-F36</f>
        <v>80.3503347942948</v>
      </c>
      <c r="G37" s="57" t="n">
        <f aca="false">G34-G36</f>
        <v>97.9612618961122</v>
      </c>
      <c r="H37" s="57" t="n">
        <f aca="false">H34-H36</f>
        <v>117.972681074546</v>
      </c>
      <c r="I37" s="57" t="n">
        <f aca="false">I34-I36</f>
        <v>140.664711084369</v>
      </c>
      <c r="J37" s="5"/>
    </row>
    <row r="38" customFormat="false" ht="13.8" hidden="false" customHeight="false" outlineLevel="0" collapsed="false">
      <c r="C38" s="5" t="s">
        <v>38</v>
      </c>
      <c r="D38" s="28" t="s">
        <v>36</v>
      </c>
      <c r="E38" s="56" t="n">
        <f aca="false">E37*E54</f>
        <v>14.5150626688838</v>
      </c>
      <c r="F38" s="57" t="n">
        <f aca="false">F37*F54</f>
        <v>20.0875836985737</v>
      </c>
      <c r="G38" s="57" t="n">
        <f aca="false">G37*G54</f>
        <v>24.490315474028</v>
      </c>
      <c r="H38" s="57" t="n">
        <f aca="false">H37*H54</f>
        <v>29.4931702686365</v>
      </c>
      <c r="I38" s="57" t="n">
        <f aca="false">I37*I54</f>
        <v>35.1661777710921</v>
      </c>
      <c r="J38" s="5"/>
    </row>
    <row r="39" customFormat="false" ht="13.8" hidden="false" customHeight="false" outlineLevel="0" collapsed="false">
      <c r="C39" s="49" t="s">
        <v>39</v>
      </c>
      <c r="D39" s="28" t="n">
        <v>10.5</v>
      </c>
      <c r="E39" s="56" t="n">
        <f aca="false">E37-E38</f>
        <v>43.5451880066514</v>
      </c>
      <c r="F39" s="57" t="n">
        <f aca="false">F37-F38</f>
        <v>60.2627510957211</v>
      </c>
      <c r="G39" s="57" t="n">
        <f aca="false">G37-G38</f>
        <v>73.4709464220841</v>
      </c>
      <c r="H39" s="57" t="n">
        <f aca="false">H37-H38</f>
        <v>88.4795108059094</v>
      </c>
      <c r="I39" s="57" t="n">
        <f aca="false">I37-I38</f>
        <v>105.498533313276</v>
      </c>
      <c r="J39" s="5"/>
    </row>
    <row r="40" customFormat="false" ht="13.8" hidden="false" customHeight="false" outlineLevel="0" collapsed="false">
      <c r="C40" s="50" t="s">
        <v>31</v>
      </c>
      <c r="D40" s="52" t="n">
        <f aca="false">D39/D28</f>
        <v>0.0161538461538462</v>
      </c>
      <c r="E40" s="58" t="n">
        <f aca="false">E39/E28</f>
        <v>0.061461098103954</v>
      </c>
      <c r="F40" s="59" t="n">
        <f aca="false">F39/F28</f>
        <v>0.0780337722099553</v>
      </c>
      <c r="G40" s="59" t="n">
        <f aca="false">G39/G28</f>
        <v>0.0872816170639768</v>
      </c>
      <c r="H40" s="59" t="n">
        <f aca="false">H39/H28</f>
        <v>0.0964324863348026</v>
      </c>
      <c r="I40" s="59" t="n">
        <f aca="false">I39/I28</f>
        <v>0.105487396936523</v>
      </c>
      <c r="J40" s="5"/>
    </row>
    <row r="41" customFormat="false" ht="13.8" hidden="false" customHeight="false" outlineLevel="0" collapsed="false">
      <c r="C41" s="60"/>
      <c r="D41" s="36" t="s">
        <v>40</v>
      </c>
      <c r="E41" s="37" t="s">
        <v>27</v>
      </c>
      <c r="F41" s="37"/>
      <c r="G41" s="37"/>
      <c r="H41" s="37"/>
      <c r="I41" s="37"/>
      <c r="J41" s="5"/>
    </row>
    <row r="42" customFormat="false" ht="13.8" hidden="false" customHeight="false" outlineLevel="0" collapsed="false">
      <c r="C42" s="11" t="s">
        <v>41</v>
      </c>
      <c r="D42" s="39" t="n">
        <v>2014</v>
      </c>
      <c r="E42" s="36" t="n">
        <f aca="false">D42+1</f>
        <v>2015</v>
      </c>
      <c r="F42" s="40" t="n">
        <f aca="false">+E42+1</f>
        <v>2016</v>
      </c>
      <c r="G42" s="40" t="n">
        <f aca="false">+F42+1</f>
        <v>2017</v>
      </c>
      <c r="H42" s="40" t="n">
        <f aca="false">+G42+1</f>
        <v>2018</v>
      </c>
      <c r="I42" s="40" t="n">
        <f aca="false">+H42+1</f>
        <v>2019</v>
      </c>
      <c r="J42" s="5"/>
    </row>
    <row r="43" customFormat="false" ht="13.8" hidden="false" customHeight="false" outlineLevel="0" collapsed="false">
      <c r="C43" s="5" t="s">
        <v>5</v>
      </c>
      <c r="D43" s="16" t="n">
        <f aca="false">D30</f>
        <v>123.5</v>
      </c>
      <c r="E43" s="41" t="n">
        <f aca="false">E30</f>
        <v>141.7</v>
      </c>
      <c r="F43" s="16" t="n">
        <f aca="false">F30</f>
        <v>162.17565</v>
      </c>
      <c r="G43" s="16" t="n">
        <f aca="false">G30</f>
        <v>176.7714585</v>
      </c>
      <c r="H43" s="16" t="n">
        <f aca="false">H30</f>
        <v>192.680889765</v>
      </c>
      <c r="I43" s="16" t="n">
        <f aca="false">I30</f>
        <v>210.02216984385</v>
      </c>
      <c r="J43" s="5"/>
    </row>
    <row r="44" customFormat="false" ht="13.8" hidden="false" customHeight="false" outlineLevel="0" collapsed="false">
      <c r="C44" s="5" t="s">
        <v>42</v>
      </c>
      <c r="D44" s="28" t="n">
        <v>30</v>
      </c>
      <c r="E44" s="46" t="n">
        <f aca="false">E28*$E$50</f>
        <v>32.7</v>
      </c>
      <c r="F44" s="16" t="n">
        <f aca="false">F28*$E$50</f>
        <v>35.643</v>
      </c>
      <c r="G44" s="16" t="n">
        <f aca="false">G28*$E$50</f>
        <v>38.85087</v>
      </c>
      <c r="H44" s="16" t="n">
        <f aca="false">H28*$E$50</f>
        <v>42.3474483</v>
      </c>
      <c r="I44" s="16" t="n">
        <f aca="false">I28*$E$50</f>
        <v>46.1587186470001</v>
      </c>
      <c r="J44" s="5"/>
    </row>
    <row r="45" customFormat="false" ht="13.8" hidden="false" customHeight="false" outlineLevel="0" collapsed="false">
      <c r="C45" s="5" t="s">
        <v>43</v>
      </c>
      <c r="D45" s="28" t="s">
        <v>36</v>
      </c>
      <c r="E45" s="46" t="n">
        <f aca="false">E53-D53</f>
        <v>4.5045</v>
      </c>
      <c r="F45" s="16" t="n">
        <f aca="false">F53-E53</f>
        <v>4.90990500000001</v>
      </c>
      <c r="G45" s="16" t="n">
        <f aca="false">G53-F53</f>
        <v>5.35179645</v>
      </c>
      <c r="H45" s="16" t="n">
        <f aca="false">H53-G53</f>
        <v>5.83345813050001</v>
      </c>
      <c r="I45" s="16" t="n">
        <f aca="false">I53-H53</f>
        <v>6.358469362245</v>
      </c>
      <c r="J45" s="5"/>
    </row>
    <row r="46" customFormat="false" ht="13.8" hidden="false" customHeight="false" outlineLevel="0" collapsed="false">
      <c r="C46" s="5" t="s">
        <v>44</v>
      </c>
      <c r="D46" s="61" t="s">
        <v>36</v>
      </c>
      <c r="E46" s="46" t="n">
        <f aca="false">E36</f>
        <v>50.9397493244648</v>
      </c>
      <c r="F46" s="16" t="n">
        <f aca="false">F36</f>
        <v>46.1823152057052</v>
      </c>
      <c r="G46" s="16" t="n">
        <f aca="false">G36</f>
        <v>39.9593266038878</v>
      </c>
      <c r="H46" s="16" t="n">
        <f aca="false">H36</f>
        <v>32.3607603904541</v>
      </c>
      <c r="I46" s="16" t="n">
        <f aca="false">I36</f>
        <v>23.1987401124815</v>
      </c>
      <c r="J46" s="5"/>
    </row>
    <row r="47" customFormat="false" ht="13.8" hidden="false" customHeight="false" outlineLevel="0" collapsed="false">
      <c r="C47" s="5" t="s">
        <v>45</v>
      </c>
      <c r="D47" s="61" t="s">
        <v>36</v>
      </c>
      <c r="E47" s="46" t="n">
        <f aca="false">E38</f>
        <v>14.5150626688838</v>
      </c>
      <c r="F47" s="16" t="n">
        <f aca="false">F38</f>
        <v>20.0875836985737</v>
      </c>
      <c r="G47" s="16" t="n">
        <f aca="false">G38</f>
        <v>24.490315474028</v>
      </c>
      <c r="H47" s="16" t="n">
        <f aca="false">H38</f>
        <v>29.4931702686365</v>
      </c>
      <c r="I47" s="16" t="n">
        <f aca="false">I38</f>
        <v>35.1661777710921</v>
      </c>
      <c r="J47" s="5"/>
    </row>
    <row r="48" customFormat="false" ht="13.8" hidden="false" customHeight="false" outlineLevel="0" collapsed="false">
      <c r="C48" s="11" t="s">
        <v>46</v>
      </c>
      <c r="D48" s="32" t="s">
        <v>36</v>
      </c>
      <c r="E48" s="62" t="n">
        <f aca="false">E43-SUM(E44:E47)</f>
        <v>39.0406880066514</v>
      </c>
      <c r="F48" s="32" t="n">
        <f aca="false">F43-SUM(F44:F47)</f>
        <v>55.3528460957211</v>
      </c>
      <c r="G48" s="32" t="n">
        <f aca="false">G43-SUM(G44:G47)</f>
        <v>68.1191499720841</v>
      </c>
      <c r="H48" s="32" t="n">
        <f aca="false">H43-SUM(H44:H47)</f>
        <v>82.6460526754094</v>
      </c>
      <c r="I48" s="32" t="n">
        <f aca="false">I43-SUM(I44:I47)</f>
        <v>99.1400639510314</v>
      </c>
      <c r="J48" s="5"/>
    </row>
    <row r="49" customFormat="false" ht="13.8" hidden="false" customHeight="false" outlineLevel="0" collapsed="false">
      <c r="C49" s="5"/>
      <c r="D49" s="8"/>
      <c r="E49" s="63"/>
      <c r="F49" s="63"/>
      <c r="G49" s="63"/>
      <c r="H49" s="63"/>
      <c r="I49" s="63"/>
      <c r="J49" s="5"/>
    </row>
    <row r="50" customFormat="false" ht="13.8" hidden="false" customHeight="false" outlineLevel="0" collapsed="false">
      <c r="C50" s="5" t="s">
        <v>47</v>
      </c>
      <c r="D50" s="48" t="n">
        <f aca="false">$D$44/$D$28</f>
        <v>0.0461538461538462</v>
      </c>
      <c r="E50" s="45" t="n">
        <v>0.0461538461538462</v>
      </c>
      <c r="F50" s="45" t="n">
        <v>0.0461538461538462</v>
      </c>
      <c r="G50" s="45" t="n">
        <v>0.0461538461538462</v>
      </c>
      <c r="H50" s="45" t="n">
        <v>0.0461538461538462</v>
      </c>
      <c r="I50" s="45" t="n">
        <v>0.0461538461538462</v>
      </c>
      <c r="J50" s="5"/>
    </row>
    <row r="51" customFormat="false" ht="13.8" hidden="false" customHeight="false" outlineLevel="0" collapsed="false">
      <c r="C51" s="5" t="s">
        <v>48</v>
      </c>
      <c r="D51" s="48" t="n">
        <f aca="false">D32/D44</f>
        <v>1</v>
      </c>
      <c r="E51" s="45" t="n">
        <v>1</v>
      </c>
      <c r="F51" s="45" t="n">
        <v>1</v>
      </c>
      <c r="G51" s="45" t="n">
        <v>1</v>
      </c>
      <c r="H51" s="45" t="n">
        <v>1</v>
      </c>
      <c r="I51" s="45" t="n">
        <v>1</v>
      </c>
      <c r="J51" s="5"/>
    </row>
    <row r="52" customFormat="false" ht="13.8" hidden="false" customHeight="false" outlineLevel="0" collapsed="false">
      <c r="C52" s="5" t="s">
        <v>49</v>
      </c>
      <c r="D52" s="53" t="n">
        <f aca="false">D53/D28</f>
        <v>0.077</v>
      </c>
      <c r="E52" s="45" t="n">
        <v>0.077</v>
      </c>
      <c r="F52" s="45" t="n">
        <v>0.077</v>
      </c>
      <c r="G52" s="45" t="n">
        <v>0.077</v>
      </c>
      <c r="H52" s="45" t="n">
        <v>0.077</v>
      </c>
      <c r="I52" s="45" t="n">
        <v>0.077</v>
      </c>
      <c r="J52" s="5"/>
    </row>
    <row r="53" customFormat="false" ht="13.8" hidden="false" customHeight="false" outlineLevel="0" collapsed="false">
      <c r="C53" s="5" t="s">
        <v>50</v>
      </c>
      <c r="D53" s="28" t="n">
        <v>50.05</v>
      </c>
      <c r="E53" s="15" t="n">
        <f aca="false">E52*E28</f>
        <v>54.5545</v>
      </c>
      <c r="F53" s="15" t="n">
        <f aca="false">F52*F28</f>
        <v>59.464405</v>
      </c>
      <c r="G53" s="15" t="n">
        <f aca="false">G52*G28</f>
        <v>64.81620145</v>
      </c>
      <c r="H53" s="15" t="n">
        <f aca="false">H52*H28</f>
        <v>70.6496595805</v>
      </c>
      <c r="I53" s="15" t="n">
        <f aca="false">I52*I28</f>
        <v>77.008128942745</v>
      </c>
      <c r="J53" s="5"/>
    </row>
    <row r="54" customFormat="false" ht="13.8" hidden="false" customHeight="false" outlineLevel="0" collapsed="false">
      <c r="C54" s="5" t="s">
        <v>51</v>
      </c>
      <c r="D54" s="64" t="s">
        <v>36</v>
      </c>
      <c r="E54" s="45" t="n">
        <v>0.25</v>
      </c>
      <c r="F54" s="45" t="n">
        <v>0.25</v>
      </c>
      <c r="G54" s="45" t="n">
        <v>0.25</v>
      </c>
      <c r="H54" s="45" t="n">
        <v>0.25</v>
      </c>
      <c r="I54" s="45" t="n">
        <v>0.25</v>
      </c>
      <c r="J54" s="5"/>
    </row>
    <row r="55" customFormat="false" ht="13.8" hidden="false" customHeight="false" outlineLevel="0" collapsed="false">
      <c r="C55" s="60"/>
      <c r="D55" s="36" t="s">
        <v>52</v>
      </c>
      <c r="E55" s="37" t="s">
        <v>27</v>
      </c>
      <c r="F55" s="37"/>
      <c r="G55" s="37"/>
      <c r="H55" s="37"/>
      <c r="I55" s="37"/>
      <c r="J55" s="5"/>
    </row>
    <row r="56" customFormat="false" ht="13.8" hidden="false" customHeight="false" outlineLevel="0" collapsed="false">
      <c r="C56" s="11" t="s">
        <v>53</v>
      </c>
      <c r="D56" s="39" t="n">
        <v>2014</v>
      </c>
      <c r="E56" s="40" t="n">
        <f aca="false">D56+1</f>
        <v>2015</v>
      </c>
      <c r="F56" s="40" t="n">
        <f aca="false">+E56+1</f>
        <v>2016</v>
      </c>
      <c r="G56" s="40" t="n">
        <f aca="false">+F56+1</f>
        <v>2017</v>
      </c>
      <c r="H56" s="40" t="n">
        <f aca="false">+G56+1</f>
        <v>2018</v>
      </c>
      <c r="I56" s="40" t="n">
        <f aca="false">+H56+1</f>
        <v>2019</v>
      </c>
      <c r="J56" s="5"/>
    </row>
    <row r="57" customFormat="false" ht="13.8" hidden="false" customHeight="false" outlineLevel="0" collapsed="false">
      <c r="C57" s="5" t="s">
        <v>54</v>
      </c>
      <c r="D57" s="8"/>
      <c r="E57" s="16" t="n">
        <f aca="false">D59</f>
        <v>524.875</v>
      </c>
      <c r="F57" s="16" t="n">
        <f aca="false">E59</f>
        <v>485.834311993349</v>
      </c>
      <c r="G57" s="16" t="n">
        <f aca="false">F59</f>
        <v>430.481465897628</v>
      </c>
      <c r="H57" s="16" t="n">
        <f aca="false">G59</f>
        <v>362.362315925543</v>
      </c>
      <c r="I57" s="16" t="n">
        <f aca="false">H59</f>
        <v>279.716263250134</v>
      </c>
      <c r="J57" s="5"/>
    </row>
    <row r="58" customFormat="false" ht="13.8" hidden="false" customHeight="false" outlineLevel="0" collapsed="false">
      <c r="C58" s="65" t="s">
        <v>55</v>
      </c>
      <c r="D58" s="66"/>
      <c r="E58" s="67" t="n">
        <f aca="false">(IF(E48&lt;0,0,-MIN(E57,E48)))</f>
        <v>-39.0406880066514</v>
      </c>
      <c r="F58" s="67" t="n">
        <f aca="false">(IF(F48&lt;0,0,-MIN(F57,F48)))</f>
        <v>-55.3528460957211</v>
      </c>
      <c r="G58" s="67" t="n">
        <f aca="false">(IF(G48&lt;0,0,-MIN(G57,G48)))</f>
        <v>-68.1191499720841</v>
      </c>
      <c r="H58" s="67" t="n">
        <f aca="false">(IF(H48&lt;0,0,-MIN(H57,H48)))</f>
        <v>-82.6460526754094</v>
      </c>
      <c r="I58" s="67" t="n">
        <f aca="false">(IF(I48&lt;0,0,-MIN(I57,I48)))</f>
        <v>-99.1400639510314</v>
      </c>
      <c r="J58" s="5"/>
    </row>
    <row r="59" customFormat="false" ht="13.8" hidden="false" customHeight="false" outlineLevel="0" collapsed="false">
      <c r="C59" s="60" t="s">
        <v>56</v>
      </c>
      <c r="D59" s="68" t="n">
        <f aca="false">$D$20</f>
        <v>524.875</v>
      </c>
      <c r="E59" s="68" t="n">
        <f aca="false">E57+E58</f>
        <v>485.834311993349</v>
      </c>
      <c r="F59" s="68" t="n">
        <f aca="false">F57+F58</f>
        <v>430.481465897628</v>
      </c>
      <c r="G59" s="68" t="n">
        <f aca="false">G57+G58</f>
        <v>362.362315925543</v>
      </c>
      <c r="H59" s="68" t="n">
        <f aca="false">H57+H58</f>
        <v>279.716263250134</v>
      </c>
      <c r="I59" s="68" t="n">
        <f aca="false">I57+I58</f>
        <v>180.576199299103</v>
      </c>
      <c r="J59" s="5"/>
    </row>
    <row r="60" customFormat="false" ht="13.8" hidden="false" customHeight="false" outlineLevel="0" collapsed="false">
      <c r="C60" s="42" t="s">
        <v>57</v>
      </c>
      <c r="D60" s="69" t="n">
        <f aca="false">D59/D43</f>
        <v>4.25</v>
      </c>
      <c r="E60" s="69" t="n">
        <f aca="false">E59/E43</f>
        <v>3.42861194067289</v>
      </c>
      <c r="F60" s="69" t="n">
        <f aca="false">F59/F43</f>
        <v>2.65441492540728</v>
      </c>
      <c r="G60" s="69" t="n">
        <f aca="false">G59/G43</f>
        <v>2.04989153226647</v>
      </c>
      <c r="H60" s="69" t="n">
        <f aca="false">H59/H43</f>
        <v>1.45170734674977</v>
      </c>
      <c r="I60" s="69" t="n">
        <f aca="false">I59/I43</f>
        <v>0.859795894087561</v>
      </c>
      <c r="J60" s="5"/>
    </row>
    <row r="61" customFormat="false" ht="13.8" hidden="false" customHeight="false" outlineLevel="0" collapsed="false">
      <c r="C61" s="70"/>
      <c r="D61" s="71"/>
      <c r="E61" s="71"/>
      <c r="F61" s="71"/>
      <c r="G61" s="71"/>
      <c r="H61" s="71"/>
      <c r="I61" s="71"/>
      <c r="J61" s="70"/>
    </row>
    <row r="62" customFormat="false" ht="13.8" hidden="false" customHeight="false" outlineLevel="0" collapsed="false">
      <c r="C62" s="72" t="s">
        <v>58</v>
      </c>
      <c r="D62" s="73"/>
      <c r="E62" s="74" t="n">
        <f aca="false">AVERAGE(E57,E59)</f>
        <v>505.354655996674</v>
      </c>
      <c r="F62" s="74" t="n">
        <f aca="false">AVERAGE(F57,F59)</f>
        <v>458.157888945488</v>
      </c>
      <c r="G62" s="74" t="n">
        <f aca="false">AVERAGE(G57,G59)</f>
        <v>396.421890911586</v>
      </c>
      <c r="H62" s="74" t="n">
        <f aca="false">AVERAGE(H57,H59)</f>
        <v>321.039289587839</v>
      </c>
      <c r="I62" s="75" t="n">
        <f aca="false">AVERAGE(I57,I59)</f>
        <v>230.146231274618</v>
      </c>
      <c r="J62" s="70"/>
    </row>
    <row r="63" customFormat="false" ht="13.8" hidden="false" customHeight="false" outlineLevel="0" collapsed="false">
      <c r="C63" s="76" t="s">
        <v>59</v>
      </c>
      <c r="D63" s="77"/>
      <c r="E63" s="78" t="n">
        <f aca="false">E62*($K$21+$L$21)</f>
        <v>50.9397493244648</v>
      </c>
      <c r="F63" s="78" t="n">
        <f aca="false">F62*($K$21+$L$21)</f>
        <v>46.1823152057052</v>
      </c>
      <c r="G63" s="78" t="n">
        <f aca="false">G62*($K$21+$L$21)</f>
        <v>39.9593266038878</v>
      </c>
      <c r="H63" s="78" t="n">
        <f aca="false">H62*($K$21+$L$21)</f>
        <v>32.3607603904541</v>
      </c>
      <c r="I63" s="79" t="n">
        <f aca="false">I62*($K$21+$L$21)</f>
        <v>23.1987401124815</v>
      </c>
      <c r="J63" s="70"/>
    </row>
    <row r="64" customFormat="false" ht="13.8" hidden="false" customHeight="false" outlineLevel="0" collapsed="false">
      <c r="C64" s="70"/>
      <c r="D64" s="71"/>
      <c r="E64" s="80"/>
      <c r="F64" s="80"/>
      <c r="G64" s="80"/>
      <c r="H64" s="80"/>
      <c r="I64" s="80"/>
      <c r="J64" s="70"/>
    </row>
    <row r="65" customFormat="false" ht="13.8" hidden="false" customHeight="false" outlineLevel="0" collapsed="false"/>
    <row r="66" customFormat="false" ht="13.8" hidden="false" customHeight="false" outlineLevel="0" collapsed="false">
      <c r="C66" s="11" t="s">
        <v>60</v>
      </c>
      <c r="D66" s="12"/>
      <c r="E66" s="1"/>
      <c r="F66" s="7"/>
    </row>
    <row r="67" customFormat="false" ht="13.8" hidden="false" customHeight="false" outlineLevel="0" collapsed="false">
      <c r="C67" s="5" t="s">
        <v>4</v>
      </c>
      <c r="D67" s="81" t="n">
        <v>8.9</v>
      </c>
      <c r="E67" s="1"/>
      <c r="F67" s="7"/>
    </row>
    <row r="68" customFormat="false" ht="13.8" hidden="false" customHeight="false" outlineLevel="0" collapsed="false">
      <c r="C68" s="5" t="s">
        <v>5</v>
      </c>
      <c r="D68" s="80" t="n">
        <f aca="false">$I$43</f>
        <v>210.02216984385</v>
      </c>
      <c r="E68" s="1"/>
      <c r="F68" s="7"/>
    </row>
    <row r="69" customFormat="false" ht="13.8" hidden="false" customHeight="false" outlineLevel="0" collapsed="false">
      <c r="C69" s="5" t="s">
        <v>61</v>
      </c>
      <c r="D69" s="80" t="n">
        <f aca="false">D67*D68</f>
        <v>1869.19731161027</v>
      </c>
      <c r="E69" s="1"/>
      <c r="F69" s="7"/>
    </row>
    <row r="70" customFormat="false" ht="13.8" hidden="false" customHeight="false" outlineLevel="0" collapsed="false">
      <c r="C70" s="5" t="s">
        <v>7</v>
      </c>
      <c r="D70" s="80" t="n">
        <f aca="false">I59</f>
        <v>180.576199299103</v>
      </c>
      <c r="E70" s="1"/>
      <c r="F70" s="7"/>
    </row>
    <row r="71" customFormat="false" ht="13.8" hidden="false" customHeight="false" outlineLevel="0" collapsed="false">
      <c r="C71" s="5" t="s">
        <v>22</v>
      </c>
      <c r="D71" s="80" t="n">
        <f aca="false">$E$71*$D$69</f>
        <v>56.075919348308</v>
      </c>
      <c r="E71" s="82" t="n">
        <v>0.03</v>
      </c>
      <c r="F71" s="7"/>
    </row>
    <row r="72" customFormat="false" ht="13.8" hidden="false" customHeight="false" outlineLevel="0" collapsed="false">
      <c r="C72" s="5" t="s">
        <v>62</v>
      </c>
      <c r="D72" s="80" t="n">
        <f aca="false">D69-D70-D71</f>
        <v>1632.54519296286</v>
      </c>
      <c r="E72" s="1"/>
      <c r="F72" s="7"/>
    </row>
    <row r="73" customFormat="false" ht="13.8" hidden="false" customHeight="false" outlineLevel="0" collapsed="false">
      <c r="C73" s="5" t="s">
        <v>63</v>
      </c>
      <c r="D73" s="83" t="n">
        <v>0.9</v>
      </c>
      <c r="E73" s="1"/>
      <c r="F73" s="7"/>
    </row>
    <row r="74" customFormat="false" ht="13.8" hidden="false" customHeight="false" outlineLevel="0" collapsed="false">
      <c r="C74" s="5" t="s">
        <v>64</v>
      </c>
      <c r="D74" s="80" t="n">
        <f aca="false">D72*D73</f>
        <v>1469.29067366657</v>
      </c>
      <c r="E74" s="1"/>
      <c r="F74" s="7"/>
    </row>
    <row r="75" customFormat="false" ht="13.8" hidden="false" customHeight="false" outlineLevel="0" collapsed="false">
      <c r="C75" s="5" t="s">
        <v>65</v>
      </c>
      <c r="D75" s="80" t="n">
        <f aca="false">$D$22</f>
        <v>576.592</v>
      </c>
      <c r="E75" s="1"/>
      <c r="F75" s="7"/>
    </row>
    <row r="76" customFormat="false" ht="13.8" hidden="false" customHeight="false" outlineLevel="0" collapsed="false">
      <c r="D76" s="1"/>
      <c r="E76" s="1"/>
      <c r="F76" s="7"/>
    </row>
    <row r="77" customFormat="false" ht="13.8" hidden="false" customHeight="false" outlineLevel="0" collapsed="false">
      <c r="C77" s="84" t="s">
        <v>66</v>
      </c>
      <c r="D77" s="85" t="n">
        <f aca="false">D74/D75</f>
        <v>2.5482328469118</v>
      </c>
      <c r="E77" s="1"/>
      <c r="F77" s="7"/>
    </row>
    <row r="78" customFormat="false" ht="13.8" hidden="false" customHeight="false" outlineLevel="0" collapsed="false">
      <c r="C78" s="86" t="s">
        <v>67</v>
      </c>
      <c r="D78" s="87" t="n">
        <f aca="false">D77^(1/5)-1</f>
        <v>0.205723767479108</v>
      </c>
      <c r="E78" s="1"/>
      <c r="F78" s="7"/>
    </row>
    <row r="79" customFormat="false" ht="13.8" hidden="false" customHeight="false" outlineLevel="0" collapsed="false">
      <c r="D79" s="1"/>
      <c r="E79" s="1"/>
      <c r="F79" s="7"/>
    </row>
    <row r="80" customFormat="false" ht="13.8" hidden="false" customHeight="false" outlineLevel="0" collapsed="false">
      <c r="C80" s="88" t="s">
        <v>68</v>
      </c>
      <c r="D80" s="89"/>
      <c r="E80" s="1"/>
      <c r="F80" s="7"/>
    </row>
    <row r="81" customFormat="false" ht="13.8" hidden="false" customHeight="false" outlineLevel="0" collapsed="false">
      <c r="C81" s="90" t="s">
        <v>69</v>
      </c>
      <c r="D81" s="91"/>
      <c r="E81" s="1"/>
      <c r="F81" s="7"/>
    </row>
    <row r="82" customFormat="false" ht="13.8" hidden="false" customHeight="false" outlineLevel="0" collapsed="false"/>
    <row r="83" customFormat="false" ht="13.8" hidden="false" customHeight="false" outlineLevel="0" collapsed="false"/>
    <row r="84" customFormat="false" ht="13.8" hidden="false" customHeight="false" outlineLevel="0" collapsed="false">
      <c r="C84" s="38" t="s">
        <v>70</v>
      </c>
      <c r="D84" s="92"/>
      <c r="E84" s="93"/>
      <c r="F84" s="94"/>
      <c r="G84" s="95"/>
      <c r="H84" s="96"/>
      <c r="I84" s="96"/>
      <c r="J84" s="96"/>
      <c r="K84" s="96"/>
      <c r="L84" s="96"/>
      <c r="M84" s="94"/>
      <c r="N84" s="97"/>
      <c r="O84" s="97"/>
      <c r="P84" s="97"/>
    </row>
    <row r="85" customFormat="false" ht="52.5" hidden="false" customHeight="true" outlineLevel="0" collapsed="false">
      <c r="C85" s="98" t="s">
        <v>71</v>
      </c>
      <c r="D85" s="98"/>
      <c r="E85" s="98"/>
      <c r="F85" s="98"/>
      <c r="G85" s="98"/>
      <c r="H85" s="98"/>
      <c r="I85" s="98"/>
      <c r="J85" s="98"/>
      <c r="K85" s="98"/>
      <c r="L85" s="98"/>
      <c r="M85" s="98"/>
      <c r="N85" s="98"/>
      <c r="O85" s="98"/>
      <c r="P85" s="98"/>
    </row>
    <row r="86" customFormat="false" ht="13.5" hidden="false" customHeight="false" outlineLevel="0" collapsed="false">
      <c r="C86" s="38" t="s">
        <v>72</v>
      </c>
      <c r="D86" s="92"/>
      <c r="E86" s="93"/>
      <c r="F86" s="94"/>
      <c r="G86" s="95"/>
      <c r="H86" s="96"/>
      <c r="I86" s="96"/>
      <c r="J86" s="96"/>
      <c r="K86" s="96"/>
      <c r="L86" s="96"/>
      <c r="M86" s="94"/>
      <c r="N86" s="97"/>
      <c r="O86" s="97"/>
      <c r="P86" s="97"/>
    </row>
    <row r="87" customFormat="false" ht="13.5" hidden="false" customHeight="false" outlineLevel="0" collapsed="false">
      <c r="C87" s="99" t="s">
        <v>73</v>
      </c>
      <c r="D87" s="100"/>
      <c r="E87" s="101"/>
      <c r="F87" s="99"/>
      <c r="G87" s="102"/>
      <c r="H87" s="103"/>
      <c r="I87" s="103"/>
      <c r="J87" s="103"/>
      <c r="K87" s="103"/>
      <c r="L87" s="103"/>
      <c r="M87" s="104"/>
      <c r="N87" s="105"/>
      <c r="O87" s="105"/>
    </row>
    <row r="88" customFormat="false" ht="13.5" hidden="false" customHeight="false" outlineLevel="0" collapsed="false">
      <c r="C88" s="104" t="s">
        <v>74</v>
      </c>
      <c r="D88" s="106"/>
      <c r="E88" s="107"/>
      <c r="F88" s="104"/>
      <c r="G88" s="108"/>
      <c r="H88" s="103"/>
      <c r="I88" s="103"/>
      <c r="J88" s="103"/>
      <c r="K88" s="103"/>
      <c r="L88" s="103"/>
      <c r="M88" s="104"/>
      <c r="N88" s="105"/>
      <c r="O88" s="105"/>
    </row>
    <row r="89" customFormat="false" ht="13.5" hidden="false" customHeight="false" outlineLevel="0" collapsed="false">
      <c r="C89" s="104" t="s">
        <v>75</v>
      </c>
      <c r="D89" s="106"/>
      <c r="E89" s="107"/>
      <c r="F89" s="104"/>
      <c r="G89" s="108"/>
      <c r="H89" s="103"/>
      <c r="I89" s="103"/>
      <c r="J89" s="103"/>
      <c r="K89" s="103"/>
      <c r="L89" s="103"/>
      <c r="M89" s="104"/>
      <c r="N89" s="105"/>
      <c r="O89" s="105"/>
    </row>
    <row r="90" customFormat="false" ht="13.5" hidden="false" customHeight="true" outlineLevel="0" collapsed="false">
      <c r="C90" s="104" t="s">
        <v>76</v>
      </c>
      <c r="D90" s="104"/>
      <c r="E90" s="104"/>
      <c r="F90" s="104"/>
      <c r="G90" s="104"/>
      <c r="H90" s="104"/>
      <c r="I90" s="104"/>
      <c r="J90" s="104"/>
      <c r="K90" s="104"/>
      <c r="L90" s="104"/>
      <c r="M90" s="104"/>
      <c r="N90" s="104"/>
      <c r="O90" s="104"/>
    </row>
    <row r="91" customFormat="false" ht="13.5" hidden="false" customHeight="false" outlineLevel="0" collapsed="false">
      <c r="C91" s="104" t="s">
        <v>77</v>
      </c>
      <c r="D91" s="104"/>
      <c r="E91" s="104"/>
      <c r="F91" s="104"/>
      <c r="G91" s="104"/>
      <c r="H91" s="104"/>
      <c r="I91" s="104"/>
      <c r="J91" s="104"/>
      <c r="K91" s="104"/>
      <c r="L91" s="104"/>
      <c r="M91" s="104"/>
      <c r="N91" s="104"/>
      <c r="O91" s="104"/>
    </row>
    <row r="92" customFormat="false" ht="13.5" hidden="false" customHeight="false" outlineLevel="0" collapsed="false">
      <c r="C92" s="104" t="s">
        <v>78</v>
      </c>
      <c r="D92" s="106"/>
      <c r="E92" s="107"/>
      <c r="F92" s="104"/>
      <c r="G92" s="108"/>
      <c r="H92" s="108"/>
      <c r="I92" s="108"/>
      <c r="J92" s="108"/>
      <c r="K92" s="108"/>
      <c r="L92" s="108"/>
      <c r="M92" s="104"/>
      <c r="N92" s="105"/>
      <c r="O92" s="105"/>
    </row>
    <row r="93" customFormat="false" ht="13.5" hidden="false" customHeight="false" outlineLevel="0" collapsed="false">
      <c r="C93" s="104" t="s">
        <v>79</v>
      </c>
      <c r="D93" s="106"/>
      <c r="E93" s="107"/>
      <c r="F93" s="104"/>
      <c r="G93" s="108"/>
      <c r="H93" s="108"/>
      <c r="I93" s="108"/>
      <c r="J93" s="108"/>
      <c r="K93" s="108"/>
      <c r="L93" s="108"/>
      <c r="M93" s="104"/>
      <c r="N93" s="105"/>
      <c r="O93" s="105"/>
    </row>
    <row r="94" customFormat="false" ht="13.5" hidden="false" customHeight="false" outlineLevel="0" collapsed="false">
      <c r="C94" s="109" t="s">
        <v>80</v>
      </c>
      <c r="D94" s="109"/>
      <c r="E94" s="109"/>
      <c r="F94" s="109"/>
      <c r="G94" s="109"/>
      <c r="H94" s="109"/>
      <c r="I94" s="109"/>
      <c r="J94" s="109"/>
      <c r="K94" s="109"/>
      <c r="L94" s="109"/>
      <c r="M94" s="109"/>
      <c r="N94" s="109"/>
      <c r="O94" s="109"/>
    </row>
    <row r="95" customFormat="false" ht="13.5" hidden="false" customHeight="false" outlineLevel="0" collapsed="false">
      <c r="C95" s="104" t="s">
        <v>81</v>
      </c>
      <c r="D95" s="106"/>
      <c r="E95" s="107"/>
      <c r="F95" s="104"/>
      <c r="G95" s="108"/>
      <c r="H95" s="108"/>
      <c r="I95" s="108"/>
      <c r="J95" s="108"/>
      <c r="K95" s="108"/>
      <c r="L95" s="108"/>
      <c r="M95" s="104"/>
      <c r="N95" s="105"/>
      <c r="O95" s="105"/>
    </row>
    <row r="96" customFormat="false" ht="13.5" hidden="false" customHeight="false" outlineLevel="0" collapsed="false">
      <c r="C96" s="104" t="s">
        <v>82</v>
      </c>
      <c r="D96" s="106"/>
      <c r="E96" s="107"/>
      <c r="F96" s="104"/>
      <c r="G96" s="108"/>
      <c r="H96" s="108"/>
      <c r="I96" s="108"/>
      <c r="J96" s="108"/>
      <c r="K96" s="108"/>
      <c r="L96" s="108"/>
      <c r="M96" s="104"/>
      <c r="N96" s="105"/>
      <c r="O96" s="105"/>
    </row>
    <row r="100" s="1" customFormat="true" ht="13.5" hidden="false" customHeight="false" outlineLevel="0" collapsed="false"/>
    <row r="101" s="1" customFormat="true" ht="13.5" hidden="false" customHeight="false" outlineLevel="0" collapsed="false"/>
    <row r="102" s="1" customFormat="true" ht="13.5" hidden="false" customHeight="false" outlineLevel="0" collapsed="false"/>
    <row r="103" s="1" customFormat="true" ht="13.5" hidden="false" customHeight="false" outlineLevel="0" collapsed="false"/>
    <row r="104" s="1" customFormat="true" ht="13.5" hidden="false" customHeight="false" outlineLevel="0" collapsed="false"/>
    <row r="105" s="1" customFormat="true" ht="13.5" hidden="false" customHeight="false" outlineLevel="0" collapsed="false"/>
    <row r="106" s="1" customFormat="true" ht="13.5" hidden="false" customHeight="false" outlineLevel="0" collapsed="false"/>
  </sheetData>
  <mergeCells count="5">
    <mergeCell ref="E26:I26"/>
    <mergeCell ref="E41:I41"/>
    <mergeCell ref="E55:I55"/>
    <mergeCell ref="C85:P85"/>
    <mergeCell ref="C94:O94"/>
  </mergeCells>
  <printOptions headings="true" gridLines="true" gridLinesSet="true" horizontalCentered="false" verticalCentered="false"/>
  <pageMargins left="0.7" right="0.7" top="0.75" bottom="0.75" header="0.511811023622047" footer="0.511811023622047"/>
  <pageSetup paperSize="1" scale="62"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T10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K18" activeCellId="0" sqref="K18"/>
    </sheetView>
  </sheetViews>
  <sheetFormatPr defaultColWidth="9.1640625" defaultRowHeight="13.5" zeroHeight="false" outlineLevelRow="0" outlineLevelCol="0"/>
  <cols>
    <col collapsed="false" customWidth="true" hidden="false" outlineLevel="0" max="2" min="1" style="1" width="10.66"/>
    <col collapsed="false" customWidth="true" hidden="false" outlineLevel="0" max="3" min="3" style="1" width="42.16"/>
    <col collapsed="false" customWidth="true" hidden="false" outlineLevel="0" max="4" min="4" style="2" width="10.66"/>
    <col collapsed="false" customWidth="true" hidden="false" outlineLevel="0" max="5" min="5" style="3" width="10.83"/>
    <col collapsed="false" customWidth="true" hidden="false" outlineLevel="0" max="6" min="6" style="1" width="17.5"/>
    <col collapsed="false" customWidth="true" hidden="false" outlineLevel="0" max="8" min="7" style="4" width="10.66"/>
    <col collapsed="false" customWidth="true" hidden="false" outlineLevel="0" max="9" min="9" style="4" width="11.16"/>
    <col collapsed="false" customWidth="true" hidden="false" outlineLevel="0" max="10" min="10" style="4" width="3.5"/>
    <col collapsed="false" customWidth="true" hidden="false" outlineLevel="0" max="12" min="11" style="4" width="10.66"/>
    <col collapsed="false" customWidth="true" hidden="false" outlineLevel="0" max="13" min="13" style="1" width="7.5"/>
    <col collapsed="false" customWidth="true" hidden="false" outlineLevel="0" max="14" min="14" style="1" width="12"/>
    <col collapsed="false" customWidth="true" hidden="false" outlineLevel="0" max="15" min="15" style="1" width="10.66"/>
    <col collapsed="false" customWidth="false" hidden="false" outlineLevel="0" max="20" min="16" style="1" width="9.16"/>
  </cols>
  <sheetData>
    <row r="1" customFormat="false" ht="13.8" hidden="false" customHeight="false" outlineLevel="0" collapsed="false">
      <c r="F1" s="2"/>
      <c r="G1" s="2"/>
      <c r="H1" s="2"/>
      <c r="I1" s="3"/>
      <c r="J1" s="1"/>
      <c r="M1" s="4"/>
      <c r="N1" s="4"/>
      <c r="O1" s="4"/>
      <c r="P1" s="4"/>
    </row>
    <row r="2" customFormat="false" ht="13.8" hidden="false" customHeight="false" outlineLevel="0" collapsed="false">
      <c r="C2" s="5" t="s">
        <v>83</v>
      </c>
      <c r="D2" s="6"/>
      <c r="F2" s="6"/>
      <c r="G2" s="6"/>
      <c r="H2" s="6"/>
      <c r="I2" s="7"/>
      <c r="J2" s="5"/>
      <c r="K2" s="8"/>
      <c r="L2" s="8"/>
      <c r="M2" s="8"/>
      <c r="N2" s="8"/>
      <c r="O2" s="8"/>
      <c r="P2" s="8"/>
      <c r="Q2" s="5"/>
      <c r="R2" s="5"/>
      <c r="S2" s="5"/>
    </row>
    <row r="3" customFormat="false" ht="13.8" hidden="false" customHeight="false" outlineLevel="0" collapsed="false">
      <c r="C3" s="5" t="s">
        <v>1</v>
      </c>
      <c r="D3" s="9" t="s">
        <v>2</v>
      </c>
      <c r="F3" s="10"/>
      <c r="G3" s="10"/>
      <c r="H3" s="10"/>
      <c r="I3" s="7"/>
      <c r="R3" s="5"/>
      <c r="S3" s="5"/>
    </row>
    <row r="4" customFormat="false" ht="13.8" hidden="false" customHeight="false" outlineLevel="0" collapsed="false">
      <c r="C4" s="110" t="s">
        <v>84</v>
      </c>
      <c r="D4" s="6"/>
      <c r="F4" s="6"/>
      <c r="G4" s="6"/>
      <c r="H4" s="6"/>
      <c r="I4" s="7"/>
      <c r="R4" s="5"/>
      <c r="S4" s="5"/>
    </row>
    <row r="5" customFormat="false" ht="13.8" hidden="false" customHeight="false" outlineLevel="0" collapsed="false">
      <c r="C5" s="11" t="s">
        <v>3</v>
      </c>
      <c r="D5" s="12"/>
    </row>
    <row r="6" customFormat="false" ht="13.8" hidden="false" customHeight="false" outlineLevel="0" collapsed="false">
      <c r="C6" s="5" t="s">
        <v>4</v>
      </c>
      <c r="D6" s="13" t="n">
        <v>8.9</v>
      </c>
    </row>
    <row r="7" customFormat="false" ht="13.8" hidden="false" customHeight="false" outlineLevel="0" collapsed="false">
      <c r="C7" s="5" t="s">
        <v>5</v>
      </c>
      <c r="D7" s="14" t="n">
        <f aca="false">D30</f>
        <v>123.5</v>
      </c>
    </row>
    <row r="8" customFormat="false" ht="13.8" hidden="false" customHeight="false" outlineLevel="0" collapsed="false">
      <c r="C8" s="5" t="s">
        <v>6</v>
      </c>
      <c r="D8" s="15" t="n">
        <f aca="false">D6*D7</f>
        <v>1099.15</v>
      </c>
    </row>
    <row r="9" customFormat="false" ht="13.8" hidden="false" customHeight="false" outlineLevel="0" collapsed="false">
      <c r="C9" s="5" t="s">
        <v>7</v>
      </c>
      <c r="D9" s="14" t="n">
        <v>486</v>
      </c>
    </row>
    <row r="10" customFormat="false" ht="13.8" hidden="false" customHeight="false" outlineLevel="0" collapsed="false">
      <c r="C10" s="5" t="s">
        <v>8</v>
      </c>
      <c r="D10" s="16" t="n">
        <f aca="false">D8-D9</f>
        <v>613.15</v>
      </c>
    </row>
    <row r="11" customFormat="false" ht="13.8" hidden="false" customHeight="false" outlineLevel="0" collapsed="false">
      <c r="C11" s="5" t="s">
        <v>9</v>
      </c>
      <c r="D11" s="17" t="n">
        <v>5</v>
      </c>
    </row>
    <row r="12" customFormat="false" ht="13.8" hidden="false" customHeight="false" outlineLevel="0" collapsed="false">
      <c r="C12" s="5" t="s">
        <v>10</v>
      </c>
      <c r="D12" s="18" t="n">
        <v>4.25</v>
      </c>
    </row>
    <row r="13" customFormat="false" ht="13.8" hidden="false" customHeight="false" outlineLevel="0" collapsed="false">
      <c r="C13" s="5" t="s">
        <v>11</v>
      </c>
      <c r="D13" s="19" t="n">
        <v>0.05</v>
      </c>
    </row>
    <row r="14" customFormat="false" ht="13.8" hidden="false" customHeight="false" outlineLevel="0" collapsed="false">
      <c r="C14" s="5" t="s">
        <v>12</v>
      </c>
      <c r="D14" s="9" t="n">
        <v>0.03</v>
      </c>
    </row>
    <row r="15" customFormat="false" ht="13.8" hidden="false" customHeight="false" outlineLevel="0" collapsed="false">
      <c r="C15" s="5"/>
      <c r="D15" s="6"/>
    </row>
    <row r="16" customFormat="false" ht="13.8" hidden="false" customHeight="false" outlineLevel="0" collapsed="false">
      <c r="C16" s="20" t="s">
        <v>13</v>
      </c>
      <c r="D16" s="21"/>
      <c r="E16" s="22"/>
      <c r="F16" s="23"/>
      <c r="G16" s="24"/>
      <c r="H16" s="23"/>
      <c r="I16" s="23"/>
    </row>
    <row r="17" customFormat="false" ht="13.8" hidden="false" customHeight="false" outlineLevel="0" collapsed="false">
      <c r="I17" s="7"/>
    </row>
    <row r="18" customFormat="false" ht="13.8" hidden="false" customHeight="false" outlineLevel="0" collapsed="false">
      <c r="C18" s="11" t="s">
        <v>14</v>
      </c>
      <c r="D18" s="12"/>
      <c r="F18" s="11" t="s">
        <v>15</v>
      </c>
      <c r="G18" s="12"/>
      <c r="H18" s="12"/>
      <c r="I18" s="12"/>
      <c r="K18" s="25" t="n">
        <v>45555</v>
      </c>
      <c r="L18" s="1"/>
    </row>
    <row r="19" customFormat="false" ht="13.8" hidden="false" customHeight="false" outlineLevel="0" collapsed="false">
      <c r="A19" s="26"/>
      <c r="B19" s="27"/>
      <c r="C19" s="5" t="s">
        <v>16</v>
      </c>
      <c r="D19" s="28" t="n">
        <v>0</v>
      </c>
      <c r="F19" s="5" t="s">
        <v>17</v>
      </c>
      <c r="I19" s="16" t="n">
        <f aca="false">D10</f>
        <v>613.15</v>
      </c>
      <c r="K19" s="27" t="s">
        <v>18</v>
      </c>
      <c r="L19" s="27" t="s">
        <v>19</v>
      </c>
    </row>
    <row r="20" customFormat="false" ht="13.8" hidden="false" customHeight="false" outlineLevel="0" collapsed="false">
      <c r="A20" s="26"/>
      <c r="B20" s="27"/>
      <c r="C20" s="5" t="s">
        <v>20</v>
      </c>
      <c r="D20" s="16" t="n">
        <f aca="false">$D$12*$D$7</f>
        <v>524.875</v>
      </c>
      <c r="F20" s="5" t="s">
        <v>21</v>
      </c>
      <c r="I20" s="16" t="n">
        <f aca="false">D9</f>
        <v>486</v>
      </c>
      <c r="K20" s="29" t="n">
        <v>0.0533</v>
      </c>
      <c r="L20" s="29" t="n">
        <v>0.0425</v>
      </c>
      <c r="R20" s="30"/>
      <c r="S20" s="30"/>
      <c r="T20" s="30"/>
    </row>
    <row r="21" customFormat="false" ht="13.8" hidden="false" customHeight="false" outlineLevel="0" collapsed="false">
      <c r="C21" s="5" t="s">
        <v>11</v>
      </c>
      <c r="D21" s="16" t="n">
        <f aca="false">$D$10*$D$13</f>
        <v>30.6575</v>
      </c>
      <c r="F21" s="5" t="s">
        <v>22</v>
      </c>
      <c r="I21" s="16" t="n">
        <f aca="false">$D$8*$D$14</f>
        <v>32.9745</v>
      </c>
      <c r="K21" s="29" t="n">
        <v>0.0533</v>
      </c>
      <c r="L21" s="29" t="n">
        <v>0.0475</v>
      </c>
      <c r="R21" s="30"/>
      <c r="S21" s="30"/>
      <c r="T21" s="30"/>
    </row>
    <row r="22" customFormat="false" ht="13.8" hidden="false" customHeight="false" outlineLevel="0" collapsed="false">
      <c r="B22" s="26"/>
      <c r="C22" s="5" t="s">
        <v>23</v>
      </c>
      <c r="D22" s="16" t="n">
        <f aca="false">D23-SUM(D19:D21)</f>
        <v>576.592</v>
      </c>
      <c r="K22" s="1"/>
      <c r="L22" s="31"/>
      <c r="R22" s="5"/>
      <c r="S22" s="5"/>
    </row>
    <row r="23" customFormat="false" ht="13.8" hidden="false" customHeight="false" outlineLevel="0" collapsed="false">
      <c r="C23" s="11" t="s">
        <v>24</v>
      </c>
      <c r="D23" s="32" t="n">
        <f aca="false">I23</f>
        <v>1132.1245</v>
      </c>
      <c r="F23" s="11" t="s">
        <v>25</v>
      </c>
      <c r="G23" s="12"/>
      <c r="H23" s="12"/>
      <c r="I23" s="32" t="n">
        <f aca="false">I19+I20+I21</f>
        <v>1132.1245</v>
      </c>
      <c r="R23" s="33"/>
      <c r="S23" s="33"/>
    </row>
    <row r="24" customFormat="false" ht="13.8" hidden="false" customHeight="false" outlineLevel="0" collapsed="false">
      <c r="R24" s="34"/>
      <c r="S24" s="34"/>
    </row>
    <row r="25" customFormat="false" ht="13.8" hidden="false" customHeight="false" outlineLevel="0" collapsed="false">
      <c r="R25" s="34"/>
      <c r="S25" s="34"/>
    </row>
    <row r="26" customFormat="false" ht="13.8" hidden="false" customHeight="false" outlineLevel="0" collapsed="false">
      <c r="C26" s="35"/>
      <c r="D26" s="36" t="s">
        <v>26</v>
      </c>
      <c r="E26" s="37" t="s">
        <v>27</v>
      </c>
      <c r="F26" s="37"/>
      <c r="G26" s="37"/>
      <c r="H26" s="37"/>
      <c r="I26" s="37"/>
      <c r="J26" s="5"/>
      <c r="R26" s="34"/>
      <c r="S26" s="34"/>
    </row>
    <row r="27" customFormat="false" ht="13.8" hidden="false" customHeight="false" outlineLevel="0" collapsed="false">
      <c r="C27" s="38" t="s">
        <v>28</v>
      </c>
      <c r="D27" s="39" t="n">
        <v>2014</v>
      </c>
      <c r="E27" s="36" t="n">
        <f aca="false">D27+1</f>
        <v>2015</v>
      </c>
      <c r="F27" s="40" t="n">
        <f aca="false">+E27+1</f>
        <v>2016</v>
      </c>
      <c r="G27" s="40" t="n">
        <f aca="false">+F27+1</f>
        <v>2017</v>
      </c>
      <c r="H27" s="40" t="n">
        <f aca="false">+G27+1</f>
        <v>2018</v>
      </c>
      <c r="I27" s="40" t="n">
        <f aca="false">+H27+1</f>
        <v>2019</v>
      </c>
      <c r="J27" s="5"/>
      <c r="R27" s="34"/>
      <c r="S27" s="34"/>
    </row>
    <row r="28" customFormat="false" ht="13.8" hidden="false" customHeight="false" outlineLevel="0" collapsed="false">
      <c r="C28" s="5" t="s">
        <v>29</v>
      </c>
      <c r="D28" s="28" t="n">
        <v>650</v>
      </c>
      <c r="E28" s="41" t="n">
        <f aca="false">D28*(1+E29)</f>
        <v>727.35</v>
      </c>
      <c r="F28" s="16" t="n">
        <f aca="false">E28*(1+F29)</f>
        <v>813.90465</v>
      </c>
      <c r="G28" s="16" t="n">
        <f aca="false">F28*(1+G29)</f>
        <v>910.75930335</v>
      </c>
      <c r="H28" s="16" t="n">
        <f aca="false">G28*(1+H29)</f>
        <v>1019.13966044865</v>
      </c>
      <c r="I28" s="16" t="n">
        <f aca="false">H28*(1+I29)</f>
        <v>1140.41728004204</v>
      </c>
      <c r="J28" s="5"/>
      <c r="R28" s="34"/>
      <c r="S28" s="34"/>
    </row>
    <row r="29" customFormat="false" ht="13.8" hidden="false" customHeight="false" outlineLevel="0" collapsed="false">
      <c r="C29" s="42" t="s">
        <v>30</v>
      </c>
      <c r="D29" s="43" t="n">
        <v>0.081</v>
      </c>
      <c r="E29" s="111" t="n">
        <v>0.119</v>
      </c>
      <c r="F29" s="112" t="n">
        <v>0.119</v>
      </c>
      <c r="G29" s="112" t="n">
        <v>0.119</v>
      </c>
      <c r="H29" s="112" t="n">
        <v>0.119</v>
      </c>
      <c r="I29" s="112" t="n">
        <v>0.119</v>
      </c>
      <c r="J29" s="5"/>
      <c r="R29" s="34"/>
      <c r="S29" s="34"/>
    </row>
    <row r="30" customFormat="false" ht="13.8" hidden="false" customHeight="false" outlineLevel="0" collapsed="false">
      <c r="C30" s="5" t="s">
        <v>5</v>
      </c>
      <c r="D30" s="28" t="n">
        <v>123.5</v>
      </c>
      <c r="E30" s="46" t="n">
        <f aca="false">E28*E31</f>
        <v>149.10675</v>
      </c>
      <c r="F30" s="16" t="n">
        <f aca="false">F28*F31</f>
        <v>174.98949975</v>
      </c>
      <c r="G30" s="16" t="n">
        <f aca="false">G28*G31</f>
        <v>195.81325022025</v>
      </c>
      <c r="H30" s="16" t="n">
        <f aca="false">H28*H31</f>
        <v>219.11502699646</v>
      </c>
      <c r="I30" s="16" t="n">
        <f aca="false">I28*I31</f>
        <v>245.189715209038</v>
      </c>
      <c r="J30" s="5"/>
      <c r="R30" s="47"/>
      <c r="S30" s="47"/>
    </row>
    <row r="31" customFormat="false" ht="13.8" hidden="false" customHeight="false" outlineLevel="0" collapsed="false">
      <c r="C31" s="42" t="s">
        <v>31</v>
      </c>
      <c r="D31" s="48" t="n">
        <f aca="false">D30/D28</f>
        <v>0.19</v>
      </c>
      <c r="E31" s="111" t="n">
        <v>0.205</v>
      </c>
      <c r="F31" s="112" t="n">
        <v>0.215</v>
      </c>
      <c r="G31" s="112" t="n">
        <v>0.215</v>
      </c>
      <c r="H31" s="112" t="n">
        <v>0.215</v>
      </c>
      <c r="I31" s="112" t="n">
        <v>0.215</v>
      </c>
      <c r="J31" s="5"/>
      <c r="R31" s="47"/>
      <c r="S31" s="47"/>
    </row>
    <row r="32" customFormat="false" ht="13.8" hidden="false" customHeight="false" outlineLevel="0" collapsed="false">
      <c r="C32" s="49" t="s">
        <v>32</v>
      </c>
      <c r="D32" s="28" t="n">
        <v>30</v>
      </c>
      <c r="E32" s="46" t="n">
        <f aca="false">E44</f>
        <v>33.57</v>
      </c>
      <c r="F32" s="16" t="n">
        <f aca="false">F44</f>
        <v>37.56483</v>
      </c>
      <c r="G32" s="16" t="n">
        <f aca="false">G44</f>
        <v>42.03504477</v>
      </c>
      <c r="H32" s="16" t="n">
        <f aca="false">H44</f>
        <v>47.0372150976301</v>
      </c>
      <c r="I32" s="16" t="n">
        <f aca="false">I44</f>
        <v>52.634643694248</v>
      </c>
      <c r="J32" s="5"/>
      <c r="R32" s="47"/>
      <c r="S32" s="47"/>
    </row>
    <row r="33" customFormat="false" ht="13.8" hidden="false" customHeight="false" outlineLevel="0" collapsed="false">
      <c r="C33" s="50" t="s">
        <v>33</v>
      </c>
      <c r="D33" s="48" t="n">
        <f aca="false">D32/$D$44</f>
        <v>1</v>
      </c>
      <c r="E33" s="51" t="n">
        <f aca="false">E32/E44</f>
        <v>1</v>
      </c>
      <c r="F33" s="52" t="n">
        <f aca="false">F32/F44</f>
        <v>1</v>
      </c>
      <c r="G33" s="52" t="n">
        <f aca="false">G32/G44</f>
        <v>1</v>
      </c>
      <c r="H33" s="52" t="n">
        <f aca="false">H32/H44</f>
        <v>1</v>
      </c>
      <c r="I33" s="52" t="n">
        <f aca="false">I32/I44</f>
        <v>1</v>
      </c>
      <c r="J33" s="5"/>
      <c r="R33" s="47"/>
      <c r="S33" s="47"/>
    </row>
    <row r="34" customFormat="false" ht="13.8" hidden="false" customHeight="false" outlineLevel="0" collapsed="false">
      <c r="C34" s="49" t="s">
        <v>34</v>
      </c>
      <c r="D34" s="28" t="n">
        <v>74.8</v>
      </c>
      <c r="E34" s="46" t="n">
        <f aca="false">E30-E32</f>
        <v>115.53675</v>
      </c>
      <c r="F34" s="16" t="n">
        <f aca="false">F30-F32</f>
        <v>137.42466975</v>
      </c>
      <c r="G34" s="16" t="n">
        <f aca="false">G30-G32</f>
        <v>153.77820545025</v>
      </c>
      <c r="H34" s="16" t="n">
        <f aca="false">H30-H32</f>
        <v>172.07781189883</v>
      </c>
      <c r="I34" s="16" t="n">
        <f aca="false">I30-I32</f>
        <v>192.55507151479</v>
      </c>
      <c r="J34" s="5"/>
    </row>
    <row r="35" customFormat="false" ht="13.5" hidden="false" customHeight="true" outlineLevel="0" collapsed="false">
      <c r="C35" s="50" t="s">
        <v>31</v>
      </c>
      <c r="D35" s="53" t="n">
        <f aca="false">D34/D28</f>
        <v>0.115076923076923</v>
      </c>
      <c r="E35" s="54" t="n">
        <f aca="false">E34/E28</f>
        <v>0.158846153846154</v>
      </c>
      <c r="F35" s="53" t="n">
        <f aca="false">F34/F28</f>
        <v>0.168846153846154</v>
      </c>
      <c r="G35" s="53" t="n">
        <f aca="false">G34/G28</f>
        <v>0.168846153846154</v>
      </c>
      <c r="H35" s="53" t="n">
        <f aca="false">H34/H28</f>
        <v>0.168846153846154</v>
      </c>
      <c r="I35" s="53" t="n">
        <f aca="false">I34/I28</f>
        <v>0.168846153846154</v>
      </c>
      <c r="J35" s="5"/>
    </row>
    <row r="36" customFormat="false" ht="13.5" hidden="false" customHeight="false" outlineLevel="0" collapsed="false">
      <c r="C36" s="49" t="s">
        <v>35</v>
      </c>
      <c r="D36" s="55" t="s">
        <v>36</v>
      </c>
      <c r="E36" s="56" t="n">
        <f aca="false">E63</f>
        <v>50.7589801853497</v>
      </c>
      <c r="F36" s="57" t="n">
        <f aca="false">F63</f>
        <v>45.4705977719536</v>
      </c>
      <c r="G36" s="57" t="n">
        <f aca="false">G63</f>
        <v>38.3430603551634</v>
      </c>
      <c r="H36" s="57" t="n">
        <f aca="false">H63</f>
        <v>29.3821940617971</v>
      </c>
      <c r="I36" s="57" t="n">
        <f aca="false">I63</f>
        <v>18.2924298576997</v>
      </c>
      <c r="J36" s="5"/>
    </row>
    <row r="37" customFormat="false" ht="24.75" hidden="false" customHeight="true" outlineLevel="0" collapsed="false">
      <c r="C37" s="49" t="s">
        <v>37</v>
      </c>
      <c r="D37" s="28" t="n">
        <v>23.4</v>
      </c>
      <c r="E37" s="56" t="n">
        <f aca="false">E34-E36</f>
        <v>64.7777702412487</v>
      </c>
      <c r="F37" s="57" t="n">
        <f aca="false">F34-F36</f>
        <v>91.9540747303844</v>
      </c>
      <c r="G37" s="57" t="n">
        <f aca="false">G34-G36</f>
        <v>115.435155537032</v>
      </c>
      <c r="H37" s="57" t="n">
        <f aca="false">H34-H36</f>
        <v>142.695648258239</v>
      </c>
      <c r="I37" s="57" t="n">
        <f aca="false">I34-I36</f>
        <v>174.262716830963</v>
      </c>
      <c r="J37" s="5"/>
    </row>
    <row r="38" customFormat="false" ht="13.8" hidden="false" customHeight="false" outlineLevel="0" collapsed="false">
      <c r="C38" s="5" t="s">
        <v>38</v>
      </c>
      <c r="D38" s="28" t="s">
        <v>36</v>
      </c>
      <c r="E38" s="56" t="n">
        <f aca="false">E37*E54</f>
        <v>16.1944425603122</v>
      </c>
      <c r="F38" s="57" t="n">
        <f aca="false">F37*F54</f>
        <v>22.9885186825961</v>
      </c>
      <c r="G38" s="57" t="n">
        <f aca="false">G37*G54</f>
        <v>28.858788884258</v>
      </c>
      <c r="H38" s="57" t="n">
        <f aca="false">H37*H54</f>
        <v>35.6739120645597</v>
      </c>
      <c r="I38" s="57" t="n">
        <f aca="false">I37*I54</f>
        <v>43.5656792077406</v>
      </c>
      <c r="J38" s="5"/>
    </row>
    <row r="39" customFormat="false" ht="13.8" hidden="false" customHeight="false" outlineLevel="0" collapsed="false">
      <c r="C39" s="49" t="s">
        <v>39</v>
      </c>
      <c r="D39" s="28" t="n">
        <v>10.5</v>
      </c>
      <c r="E39" s="56" t="n">
        <f aca="false">E37-E38</f>
        <v>48.5833276809365</v>
      </c>
      <c r="F39" s="57" t="n">
        <f aca="false">F37-F38</f>
        <v>68.9655560477883</v>
      </c>
      <c r="G39" s="57" t="n">
        <f aca="false">G37-G38</f>
        <v>86.5763666527741</v>
      </c>
      <c r="H39" s="57" t="n">
        <f aca="false">H37-H38</f>
        <v>107.021736193679</v>
      </c>
      <c r="I39" s="57" t="n">
        <f aca="false">I37-I38</f>
        <v>130.697037623222</v>
      </c>
      <c r="J39" s="5"/>
    </row>
    <row r="40" customFormat="false" ht="13.8" hidden="false" customHeight="false" outlineLevel="0" collapsed="false">
      <c r="C40" s="50" t="s">
        <v>31</v>
      </c>
      <c r="D40" s="52" t="n">
        <f aca="false">D39/D28</f>
        <v>0.0161538461538462</v>
      </c>
      <c r="E40" s="58" t="n">
        <f aca="false">E39/E28</f>
        <v>0.066794978594812</v>
      </c>
      <c r="F40" s="59" t="n">
        <f aca="false">F39/F28</f>
        <v>0.0847341958886564</v>
      </c>
      <c r="G40" s="59" t="n">
        <f aca="false">G39/G28</f>
        <v>0.095059546835618</v>
      </c>
      <c r="H40" s="59" t="n">
        <f aca="false">H39/H28</f>
        <v>0.105011845134714</v>
      </c>
      <c r="I40" s="59" t="n">
        <f aca="false">I39/I28</f>
        <v>0.114604574931032</v>
      </c>
      <c r="J40" s="5"/>
    </row>
    <row r="41" customFormat="false" ht="13.8" hidden="false" customHeight="false" outlineLevel="0" collapsed="false">
      <c r="C41" s="60"/>
      <c r="D41" s="36" t="s">
        <v>40</v>
      </c>
      <c r="E41" s="37" t="s">
        <v>27</v>
      </c>
      <c r="F41" s="37"/>
      <c r="G41" s="37"/>
      <c r="H41" s="37"/>
      <c r="I41" s="37"/>
      <c r="J41" s="5"/>
    </row>
    <row r="42" customFormat="false" ht="13.8" hidden="false" customHeight="false" outlineLevel="0" collapsed="false">
      <c r="C42" s="11" t="s">
        <v>41</v>
      </c>
      <c r="D42" s="39" t="n">
        <v>2014</v>
      </c>
      <c r="E42" s="36" t="n">
        <f aca="false">D42+1</f>
        <v>2015</v>
      </c>
      <c r="F42" s="40" t="n">
        <f aca="false">+E42+1</f>
        <v>2016</v>
      </c>
      <c r="G42" s="40" t="n">
        <f aca="false">+F42+1</f>
        <v>2017</v>
      </c>
      <c r="H42" s="40" t="n">
        <f aca="false">+G42+1</f>
        <v>2018</v>
      </c>
      <c r="I42" s="40" t="n">
        <f aca="false">+H42+1</f>
        <v>2019</v>
      </c>
      <c r="J42" s="5"/>
    </row>
    <row r="43" customFormat="false" ht="13.8" hidden="false" customHeight="false" outlineLevel="0" collapsed="false">
      <c r="C43" s="5" t="s">
        <v>5</v>
      </c>
      <c r="D43" s="16" t="n">
        <f aca="false">D30</f>
        <v>123.5</v>
      </c>
      <c r="E43" s="41" t="n">
        <f aca="false">E30</f>
        <v>149.10675</v>
      </c>
      <c r="F43" s="16" t="n">
        <f aca="false">F30</f>
        <v>174.98949975</v>
      </c>
      <c r="G43" s="16" t="n">
        <f aca="false">G30</f>
        <v>195.81325022025</v>
      </c>
      <c r="H43" s="16" t="n">
        <f aca="false">H30</f>
        <v>219.11502699646</v>
      </c>
      <c r="I43" s="16" t="n">
        <f aca="false">I30</f>
        <v>245.189715209038</v>
      </c>
      <c r="J43" s="5"/>
    </row>
    <row r="44" customFormat="false" ht="13.8" hidden="false" customHeight="false" outlineLevel="0" collapsed="false">
      <c r="C44" s="5" t="s">
        <v>42</v>
      </c>
      <c r="D44" s="28" t="n">
        <v>30</v>
      </c>
      <c r="E44" s="46" t="n">
        <f aca="false">E28*$E$50</f>
        <v>33.57</v>
      </c>
      <c r="F44" s="16" t="n">
        <f aca="false">F28*$E$50</f>
        <v>37.56483</v>
      </c>
      <c r="G44" s="16" t="n">
        <f aca="false">G28*$E$50</f>
        <v>42.03504477</v>
      </c>
      <c r="H44" s="16" t="n">
        <f aca="false">H28*$E$50</f>
        <v>47.0372150976301</v>
      </c>
      <c r="I44" s="16" t="n">
        <f aca="false">I28*$E$50</f>
        <v>52.634643694248</v>
      </c>
      <c r="J44" s="5"/>
    </row>
    <row r="45" customFormat="false" ht="13.8" hidden="false" customHeight="false" outlineLevel="0" collapsed="false">
      <c r="C45" s="5" t="s">
        <v>43</v>
      </c>
      <c r="D45" s="28" t="s">
        <v>36</v>
      </c>
      <c r="E45" s="46" t="n">
        <f aca="false">E53-D53</f>
        <v>5.95595</v>
      </c>
      <c r="F45" s="16" t="n">
        <f aca="false">F53-E53</f>
        <v>6.66470805000001</v>
      </c>
      <c r="G45" s="16" t="n">
        <f aca="false">G53-F53</f>
        <v>7.45780830795</v>
      </c>
      <c r="H45" s="16" t="n">
        <f aca="false">H53-G53</f>
        <v>8.34528749659606</v>
      </c>
      <c r="I45" s="16" t="n">
        <f aca="false">I53-H53</f>
        <v>9.33837670869097</v>
      </c>
      <c r="J45" s="5"/>
    </row>
    <row r="46" customFormat="false" ht="13.8" hidden="false" customHeight="false" outlineLevel="0" collapsed="false">
      <c r="C46" s="5" t="s">
        <v>44</v>
      </c>
      <c r="D46" s="61" t="s">
        <v>36</v>
      </c>
      <c r="E46" s="46" t="n">
        <f aca="false">E36</f>
        <v>50.7589801853497</v>
      </c>
      <c r="F46" s="16" t="n">
        <f aca="false">F36</f>
        <v>45.4705977719536</v>
      </c>
      <c r="G46" s="16" t="n">
        <f aca="false">G36</f>
        <v>38.3430603551634</v>
      </c>
      <c r="H46" s="16" t="n">
        <f aca="false">H36</f>
        <v>29.3821940617971</v>
      </c>
      <c r="I46" s="16" t="n">
        <f aca="false">I36</f>
        <v>18.2924298576997</v>
      </c>
      <c r="J46" s="5"/>
    </row>
    <row r="47" customFormat="false" ht="13.8" hidden="false" customHeight="false" outlineLevel="0" collapsed="false">
      <c r="C47" s="5" t="s">
        <v>45</v>
      </c>
      <c r="D47" s="61" t="s">
        <v>36</v>
      </c>
      <c r="E47" s="46" t="n">
        <f aca="false">E38</f>
        <v>16.1944425603122</v>
      </c>
      <c r="F47" s="16" t="n">
        <f aca="false">F38</f>
        <v>22.9885186825961</v>
      </c>
      <c r="G47" s="16" t="n">
        <f aca="false">G38</f>
        <v>28.858788884258</v>
      </c>
      <c r="H47" s="16" t="n">
        <f aca="false">H38</f>
        <v>35.6739120645597</v>
      </c>
      <c r="I47" s="16" t="n">
        <f aca="false">I38</f>
        <v>43.5656792077406</v>
      </c>
      <c r="J47" s="5"/>
    </row>
    <row r="48" customFormat="false" ht="13.8" hidden="false" customHeight="false" outlineLevel="0" collapsed="false">
      <c r="C48" s="11" t="s">
        <v>46</v>
      </c>
      <c r="D48" s="32" t="s">
        <v>36</v>
      </c>
      <c r="E48" s="62" t="n">
        <f aca="false">E43-SUM(E44:E47)</f>
        <v>42.6273772543381</v>
      </c>
      <c r="F48" s="32" t="n">
        <f aca="false">F43-SUM(F44:F47)</f>
        <v>62.3008452454502</v>
      </c>
      <c r="G48" s="32" t="n">
        <f aca="false">G43-SUM(G44:G47)</f>
        <v>79.1185479028785</v>
      </c>
      <c r="H48" s="32" t="n">
        <f aca="false">H43-SUM(H44:H47)</f>
        <v>98.6764182758768</v>
      </c>
      <c r="I48" s="32" t="n">
        <f aca="false">I43-SUM(I44:I47)</f>
        <v>121.358585740659</v>
      </c>
      <c r="J48" s="5"/>
    </row>
    <row r="49" customFormat="false" ht="13.8" hidden="false" customHeight="false" outlineLevel="0" collapsed="false">
      <c r="C49" s="5"/>
      <c r="D49" s="8"/>
      <c r="E49" s="63"/>
      <c r="F49" s="63"/>
      <c r="G49" s="63"/>
      <c r="H49" s="63"/>
      <c r="I49" s="63"/>
      <c r="J49" s="5"/>
    </row>
    <row r="50" customFormat="false" ht="13.8" hidden="false" customHeight="false" outlineLevel="0" collapsed="false">
      <c r="C50" s="5" t="s">
        <v>47</v>
      </c>
      <c r="D50" s="48" t="n">
        <f aca="false">$D$44/$D$28</f>
        <v>0.0461538461538462</v>
      </c>
      <c r="E50" s="45" t="n">
        <v>0.0461538461538462</v>
      </c>
      <c r="F50" s="45" t="n">
        <v>0.0461538461538462</v>
      </c>
      <c r="G50" s="45" t="n">
        <v>0.0461538461538462</v>
      </c>
      <c r="H50" s="45" t="n">
        <v>0.0461538461538462</v>
      </c>
      <c r="I50" s="45" t="n">
        <v>0.0461538461538462</v>
      </c>
      <c r="J50" s="5"/>
    </row>
    <row r="51" customFormat="false" ht="13.8" hidden="false" customHeight="false" outlineLevel="0" collapsed="false">
      <c r="C51" s="5" t="s">
        <v>48</v>
      </c>
      <c r="D51" s="48" t="n">
        <f aca="false">D32/D44</f>
        <v>1</v>
      </c>
      <c r="E51" s="45" t="n">
        <v>1</v>
      </c>
      <c r="F51" s="45" t="n">
        <v>1</v>
      </c>
      <c r="G51" s="45" t="n">
        <v>1</v>
      </c>
      <c r="H51" s="45" t="n">
        <v>1</v>
      </c>
      <c r="I51" s="45" t="n">
        <v>1</v>
      </c>
      <c r="J51" s="5"/>
    </row>
    <row r="52" customFormat="false" ht="13.8" hidden="false" customHeight="false" outlineLevel="0" collapsed="false">
      <c r="C52" s="5" t="s">
        <v>49</v>
      </c>
      <c r="D52" s="53" t="n">
        <f aca="false">D53/D28</f>
        <v>0.077</v>
      </c>
      <c r="E52" s="45" t="n">
        <v>0.077</v>
      </c>
      <c r="F52" s="45" t="n">
        <v>0.077</v>
      </c>
      <c r="G52" s="45" t="n">
        <v>0.077</v>
      </c>
      <c r="H52" s="45" t="n">
        <v>0.077</v>
      </c>
      <c r="I52" s="45" t="n">
        <v>0.077</v>
      </c>
      <c r="J52" s="5"/>
    </row>
    <row r="53" customFormat="false" ht="13.8" hidden="false" customHeight="false" outlineLevel="0" collapsed="false">
      <c r="C53" s="5" t="s">
        <v>50</v>
      </c>
      <c r="D53" s="28" t="n">
        <v>50.05</v>
      </c>
      <c r="E53" s="15" t="n">
        <f aca="false">E52*E28</f>
        <v>56.00595</v>
      </c>
      <c r="F53" s="15" t="n">
        <f aca="false">F52*F28</f>
        <v>62.67065805</v>
      </c>
      <c r="G53" s="15" t="n">
        <f aca="false">G52*G28</f>
        <v>70.12846635795</v>
      </c>
      <c r="H53" s="15" t="n">
        <f aca="false">H52*H28</f>
        <v>78.4737538545461</v>
      </c>
      <c r="I53" s="15" t="n">
        <f aca="false">I52*I28</f>
        <v>87.812130563237</v>
      </c>
      <c r="J53" s="5"/>
    </row>
    <row r="54" customFormat="false" ht="13.8" hidden="false" customHeight="false" outlineLevel="0" collapsed="false">
      <c r="C54" s="5" t="s">
        <v>51</v>
      </c>
      <c r="D54" s="64" t="s">
        <v>36</v>
      </c>
      <c r="E54" s="45" t="n">
        <v>0.25</v>
      </c>
      <c r="F54" s="45" t="n">
        <v>0.25</v>
      </c>
      <c r="G54" s="45" t="n">
        <v>0.25</v>
      </c>
      <c r="H54" s="45" t="n">
        <v>0.25</v>
      </c>
      <c r="I54" s="45" t="n">
        <v>0.25</v>
      </c>
      <c r="J54" s="5"/>
    </row>
    <row r="55" customFormat="false" ht="13.8" hidden="false" customHeight="false" outlineLevel="0" collapsed="false">
      <c r="C55" s="60"/>
      <c r="D55" s="36" t="s">
        <v>52</v>
      </c>
      <c r="E55" s="37" t="s">
        <v>27</v>
      </c>
      <c r="F55" s="37"/>
      <c r="G55" s="37"/>
      <c r="H55" s="37"/>
      <c r="I55" s="37"/>
      <c r="J55" s="5"/>
    </row>
    <row r="56" customFormat="false" ht="13.8" hidden="false" customHeight="false" outlineLevel="0" collapsed="false">
      <c r="C56" s="11" t="s">
        <v>53</v>
      </c>
      <c r="D56" s="39" t="n">
        <v>2014</v>
      </c>
      <c r="E56" s="40" t="n">
        <f aca="false">D56+1</f>
        <v>2015</v>
      </c>
      <c r="F56" s="40" t="n">
        <f aca="false">+E56+1</f>
        <v>2016</v>
      </c>
      <c r="G56" s="40" t="n">
        <f aca="false">+F56+1</f>
        <v>2017</v>
      </c>
      <c r="H56" s="40" t="n">
        <f aca="false">+G56+1</f>
        <v>2018</v>
      </c>
      <c r="I56" s="40" t="n">
        <f aca="false">+H56+1</f>
        <v>2019</v>
      </c>
      <c r="J56" s="5"/>
    </row>
    <row r="57" customFormat="false" ht="13.8" hidden="false" customHeight="false" outlineLevel="0" collapsed="false">
      <c r="C57" s="5" t="s">
        <v>54</v>
      </c>
      <c r="D57" s="8"/>
      <c r="E57" s="16" t="n">
        <f aca="false">D59</f>
        <v>524.875</v>
      </c>
      <c r="F57" s="16" t="n">
        <f aca="false">E59</f>
        <v>482.247622745662</v>
      </c>
      <c r="G57" s="16" t="n">
        <f aca="false">F59</f>
        <v>419.946777500212</v>
      </c>
      <c r="H57" s="16" t="n">
        <f aca="false">G59</f>
        <v>340.828229597333</v>
      </c>
      <c r="I57" s="16" t="n">
        <f aca="false">H59</f>
        <v>242.151811321456</v>
      </c>
      <c r="J57" s="5"/>
    </row>
    <row r="58" customFormat="false" ht="13.8" hidden="false" customHeight="false" outlineLevel="0" collapsed="false">
      <c r="C58" s="65" t="s">
        <v>55</v>
      </c>
      <c r="D58" s="66"/>
      <c r="E58" s="67" t="n">
        <f aca="false">(IF(E48&lt;0,0,-MIN(E57,E48)))</f>
        <v>-42.6273772543381</v>
      </c>
      <c r="F58" s="67" t="n">
        <f aca="false">(IF(F48&lt;0,0,-MIN(F57,F48)))</f>
        <v>-62.3008452454502</v>
      </c>
      <c r="G58" s="67" t="n">
        <f aca="false">(IF(G48&lt;0,0,-MIN(G57,G48)))</f>
        <v>-79.1185479028785</v>
      </c>
      <c r="H58" s="67" t="n">
        <f aca="false">(IF(H48&lt;0,0,-MIN(H57,H48)))</f>
        <v>-98.6764182758768</v>
      </c>
      <c r="I58" s="67" t="n">
        <f aca="false">(IF(I48&lt;0,0,-MIN(I57,I48)))</f>
        <v>-121.358585740659</v>
      </c>
      <c r="J58" s="5"/>
    </row>
    <row r="59" customFormat="false" ht="13.8" hidden="false" customHeight="false" outlineLevel="0" collapsed="false">
      <c r="C59" s="60" t="s">
        <v>56</v>
      </c>
      <c r="D59" s="68" t="n">
        <f aca="false">$D$20</f>
        <v>524.875</v>
      </c>
      <c r="E59" s="68" t="n">
        <f aca="false">E57+E58</f>
        <v>482.247622745662</v>
      </c>
      <c r="F59" s="68" t="n">
        <f aca="false">F57+F58</f>
        <v>419.946777500212</v>
      </c>
      <c r="G59" s="68" t="n">
        <f aca="false">G57+G58</f>
        <v>340.828229597333</v>
      </c>
      <c r="H59" s="68" t="n">
        <f aca="false">H57+H58</f>
        <v>242.151811321456</v>
      </c>
      <c r="I59" s="68" t="n">
        <f aca="false">I57+I58</f>
        <v>120.793225580797</v>
      </c>
      <c r="J59" s="5"/>
    </row>
    <row r="60" customFormat="false" ht="13.8" hidden="false" customHeight="false" outlineLevel="0" collapsed="false">
      <c r="C60" s="42" t="s">
        <v>57</v>
      </c>
      <c r="D60" s="69" t="n">
        <f aca="false">D59/D43</f>
        <v>4.25</v>
      </c>
      <c r="E60" s="69" t="n">
        <f aca="false">E59/E43</f>
        <v>3.234244075105</v>
      </c>
      <c r="F60" s="69" t="n">
        <f aca="false">F59/F43</f>
        <v>2.39983986525004</v>
      </c>
      <c r="G60" s="69" t="n">
        <f aca="false">G59/G43</f>
        <v>1.74057797015254</v>
      </c>
      <c r="H60" s="69" t="n">
        <f aca="false">H59/H43</f>
        <v>1.10513557486575</v>
      </c>
      <c r="I60" s="69" t="n">
        <f aca="false">I59/I43</f>
        <v>0.49265208974126</v>
      </c>
      <c r="J60" s="5"/>
    </row>
    <row r="61" customFormat="false" ht="13.8" hidden="false" customHeight="false" outlineLevel="0" collapsed="false">
      <c r="C61" s="70"/>
      <c r="D61" s="71"/>
      <c r="E61" s="71"/>
      <c r="F61" s="71"/>
      <c r="G61" s="71"/>
      <c r="H61" s="71"/>
      <c r="I61" s="71"/>
      <c r="J61" s="70"/>
    </row>
    <row r="62" customFormat="false" ht="13.8" hidden="false" customHeight="false" outlineLevel="0" collapsed="false">
      <c r="C62" s="72" t="s">
        <v>58</v>
      </c>
      <c r="D62" s="73"/>
      <c r="E62" s="74" t="n">
        <f aca="false">AVERAGE(E57,E59)</f>
        <v>503.561311372831</v>
      </c>
      <c r="F62" s="74" t="n">
        <f aca="false">AVERAGE(F57,F59)</f>
        <v>451.097200118588</v>
      </c>
      <c r="G62" s="74" t="n">
        <f aca="false">AVERAGE(G57,G59)</f>
        <v>380.387503548773</v>
      </c>
      <c r="H62" s="74" t="n">
        <f aca="false">AVERAGE(H57,H59)</f>
        <v>291.490020459395</v>
      </c>
      <c r="I62" s="75" t="n">
        <f aca="false">AVERAGE(I57,I59)</f>
        <v>181.472518451127</v>
      </c>
      <c r="J62" s="70"/>
    </row>
    <row r="63" customFormat="false" ht="13.8" hidden="false" customHeight="false" outlineLevel="0" collapsed="false">
      <c r="C63" s="76" t="s">
        <v>59</v>
      </c>
      <c r="D63" s="77"/>
      <c r="E63" s="78" t="n">
        <f aca="false">E62*($K$21+$L$21)</f>
        <v>50.7589801853497</v>
      </c>
      <c r="F63" s="78" t="n">
        <f aca="false">F62*($K$21+$L$21)</f>
        <v>45.4705977719536</v>
      </c>
      <c r="G63" s="78" t="n">
        <f aca="false">G62*($K$21+$L$21)</f>
        <v>38.3430603551634</v>
      </c>
      <c r="H63" s="78" t="n">
        <f aca="false">H62*($K$21+$L$21)</f>
        <v>29.3821940617971</v>
      </c>
      <c r="I63" s="79" t="n">
        <f aca="false">I62*($K$21+$L$21)</f>
        <v>18.2924298576997</v>
      </c>
      <c r="J63" s="70"/>
    </row>
    <row r="64" customFormat="false" ht="13.8" hidden="false" customHeight="false" outlineLevel="0" collapsed="false">
      <c r="C64" s="70"/>
      <c r="D64" s="71"/>
      <c r="E64" s="80"/>
      <c r="F64" s="80"/>
      <c r="G64" s="80"/>
      <c r="H64" s="80"/>
      <c r="I64" s="80"/>
      <c r="J64" s="70"/>
    </row>
    <row r="65" customFormat="false" ht="13.8" hidden="false" customHeight="false" outlineLevel="0" collapsed="false"/>
    <row r="66" customFormat="false" ht="13.8" hidden="false" customHeight="false" outlineLevel="0" collapsed="false">
      <c r="C66" s="11" t="s">
        <v>60</v>
      </c>
      <c r="D66" s="12"/>
      <c r="E66" s="1"/>
      <c r="F66" s="7"/>
    </row>
    <row r="67" customFormat="false" ht="13.8" hidden="false" customHeight="false" outlineLevel="0" collapsed="false">
      <c r="C67" s="5" t="s">
        <v>4</v>
      </c>
      <c r="D67" s="113" t="n">
        <v>10.1</v>
      </c>
      <c r="E67" s="1"/>
      <c r="F67" s="7"/>
    </row>
    <row r="68" customFormat="false" ht="13.8" hidden="false" customHeight="false" outlineLevel="0" collapsed="false">
      <c r="C68" s="5" t="s">
        <v>5</v>
      </c>
      <c r="D68" s="80" t="n">
        <f aca="false">$I$43</f>
        <v>245.189715209038</v>
      </c>
      <c r="E68" s="1"/>
      <c r="F68" s="7"/>
    </row>
    <row r="69" customFormat="false" ht="13.8" hidden="false" customHeight="false" outlineLevel="0" collapsed="false">
      <c r="C69" s="5" t="s">
        <v>61</v>
      </c>
      <c r="D69" s="80" t="n">
        <f aca="false">D67*D68</f>
        <v>2476.41612361129</v>
      </c>
      <c r="E69" s="1"/>
      <c r="F69" s="7"/>
    </row>
    <row r="70" customFormat="false" ht="13.8" hidden="false" customHeight="false" outlineLevel="0" collapsed="false">
      <c r="C70" s="5" t="s">
        <v>7</v>
      </c>
      <c r="D70" s="80" t="n">
        <f aca="false">I59</f>
        <v>120.793225580797</v>
      </c>
      <c r="E70" s="1"/>
      <c r="F70" s="7"/>
    </row>
    <row r="71" customFormat="false" ht="13.8" hidden="false" customHeight="false" outlineLevel="0" collapsed="false">
      <c r="C71" s="5" t="s">
        <v>22</v>
      </c>
      <c r="D71" s="80" t="n">
        <f aca="false">$E$71*$D$69</f>
        <v>74.2924837083387</v>
      </c>
      <c r="E71" s="82" t="n">
        <v>0.03</v>
      </c>
      <c r="F71" s="7"/>
    </row>
    <row r="72" customFormat="false" ht="13.8" hidden="false" customHeight="false" outlineLevel="0" collapsed="false">
      <c r="C72" s="5" t="s">
        <v>62</v>
      </c>
      <c r="D72" s="80" t="n">
        <f aca="false">D69-D70-D71</f>
        <v>2281.33041432215</v>
      </c>
      <c r="E72" s="1"/>
      <c r="F72" s="7"/>
    </row>
    <row r="73" customFormat="false" ht="13.8" hidden="false" customHeight="false" outlineLevel="0" collapsed="false">
      <c r="C73" s="5" t="s">
        <v>63</v>
      </c>
      <c r="D73" s="83" t="n">
        <v>0.9</v>
      </c>
      <c r="E73" s="1"/>
      <c r="F73" s="7"/>
    </row>
    <row r="74" customFormat="false" ht="13.8" hidden="false" customHeight="false" outlineLevel="0" collapsed="false">
      <c r="C74" s="5" t="s">
        <v>64</v>
      </c>
      <c r="D74" s="80" t="n">
        <f aca="false">D72*D73</f>
        <v>2053.19737288994</v>
      </c>
      <c r="E74" s="1"/>
      <c r="F74" s="7"/>
    </row>
    <row r="75" customFormat="false" ht="13.8" hidden="false" customHeight="false" outlineLevel="0" collapsed="false">
      <c r="C75" s="5" t="s">
        <v>65</v>
      </c>
      <c r="D75" s="80" t="n">
        <f aca="false">$D$22</f>
        <v>576.592</v>
      </c>
      <c r="E75" s="1"/>
      <c r="F75" s="7"/>
    </row>
    <row r="76" customFormat="false" ht="13.8" hidden="false" customHeight="false" outlineLevel="0" collapsed="false">
      <c r="D76" s="1"/>
      <c r="E76" s="1"/>
      <c r="F76" s="7"/>
    </row>
    <row r="77" customFormat="false" ht="13.8" hidden="false" customHeight="false" outlineLevel="0" collapsed="false">
      <c r="C77" s="84" t="s">
        <v>66</v>
      </c>
      <c r="D77" s="85" t="n">
        <f aca="false">D74/D75</f>
        <v>3.56091893902437</v>
      </c>
      <c r="E77" s="1"/>
      <c r="F77" s="7"/>
    </row>
    <row r="78" customFormat="false" ht="13.8" hidden="false" customHeight="false" outlineLevel="0" collapsed="false">
      <c r="C78" s="86" t="s">
        <v>67</v>
      </c>
      <c r="D78" s="87" t="n">
        <f aca="false">D77^(1/5)-1</f>
        <v>0.289176610436575</v>
      </c>
      <c r="E78" s="1"/>
      <c r="F78" s="7"/>
    </row>
    <row r="79" customFormat="false" ht="13.8" hidden="false" customHeight="false" outlineLevel="0" collapsed="false">
      <c r="D79" s="1"/>
      <c r="E79" s="1"/>
      <c r="F79" s="7"/>
    </row>
    <row r="80" customFormat="false" ht="13.8" hidden="false" customHeight="false" outlineLevel="0" collapsed="false">
      <c r="C80" s="88" t="s">
        <v>68</v>
      </c>
      <c r="D80" s="89"/>
      <c r="E80" s="1"/>
      <c r="F80" s="7"/>
    </row>
    <row r="81" customFormat="false" ht="13.8" hidden="false" customHeight="false" outlineLevel="0" collapsed="false">
      <c r="C81" s="90" t="s">
        <v>69</v>
      </c>
      <c r="D81" s="91"/>
      <c r="E81" s="1"/>
      <c r="F81" s="7"/>
    </row>
    <row r="82" customFormat="false" ht="13.8" hidden="false" customHeight="false" outlineLevel="0" collapsed="false"/>
    <row r="83" customFormat="false" ht="13.8" hidden="false" customHeight="false" outlineLevel="0" collapsed="false"/>
    <row r="84" customFormat="false" ht="13.8" hidden="false" customHeight="false" outlineLevel="0" collapsed="false">
      <c r="C84" s="38" t="s">
        <v>70</v>
      </c>
      <c r="D84" s="92"/>
      <c r="E84" s="93"/>
      <c r="F84" s="94"/>
      <c r="G84" s="95"/>
      <c r="H84" s="96"/>
      <c r="I84" s="96"/>
      <c r="J84" s="96"/>
      <c r="K84" s="96"/>
      <c r="L84" s="96"/>
      <c r="M84" s="94"/>
      <c r="N84" s="97"/>
      <c r="O84" s="97"/>
      <c r="P84" s="97"/>
    </row>
    <row r="85" customFormat="false" ht="52.5" hidden="false" customHeight="true" outlineLevel="0" collapsed="false">
      <c r="C85" s="98" t="s">
        <v>71</v>
      </c>
      <c r="D85" s="98"/>
      <c r="E85" s="98"/>
      <c r="F85" s="98"/>
      <c r="G85" s="98"/>
      <c r="H85" s="98"/>
      <c r="I85" s="98"/>
      <c r="J85" s="98"/>
      <c r="K85" s="98"/>
      <c r="L85" s="98"/>
      <c r="M85" s="98"/>
      <c r="N85" s="98"/>
      <c r="O85" s="98"/>
      <c r="P85" s="98"/>
    </row>
    <row r="86" customFormat="false" ht="13.5" hidden="false" customHeight="false" outlineLevel="0" collapsed="false">
      <c r="C86" s="38" t="s">
        <v>72</v>
      </c>
      <c r="D86" s="92"/>
      <c r="E86" s="93"/>
      <c r="F86" s="94"/>
      <c r="G86" s="95"/>
      <c r="H86" s="96"/>
      <c r="I86" s="96"/>
      <c r="J86" s="96"/>
      <c r="K86" s="96"/>
      <c r="L86" s="96"/>
      <c r="M86" s="94"/>
      <c r="N86" s="97"/>
      <c r="O86" s="97"/>
      <c r="P86" s="97"/>
    </row>
    <row r="87" customFormat="false" ht="13.5" hidden="false" customHeight="false" outlineLevel="0" collapsed="false">
      <c r="C87" s="99" t="s">
        <v>73</v>
      </c>
      <c r="D87" s="100"/>
      <c r="E87" s="101"/>
      <c r="F87" s="99"/>
      <c r="G87" s="102"/>
      <c r="H87" s="103"/>
      <c r="I87" s="103"/>
      <c r="J87" s="103"/>
      <c r="K87" s="103"/>
      <c r="L87" s="103"/>
      <c r="M87" s="104"/>
      <c r="N87" s="105"/>
      <c r="O87" s="105"/>
    </row>
    <row r="88" customFormat="false" ht="13.5" hidden="false" customHeight="false" outlineLevel="0" collapsed="false">
      <c r="C88" s="104" t="s">
        <v>74</v>
      </c>
      <c r="D88" s="106"/>
      <c r="E88" s="107"/>
      <c r="F88" s="104"/>
      <c r="G88" s="108"/>
      <c r="H88" s="103"/>
      <c r="I88" s="103"/>
      <c r="J88" s="103"/>
      <c r="K88" s="103"/>
      <c r="L88" s="103"/>
      <c r="M88" s="104"/>
      <c r="N88" s="105"/>
      <c r="O88" s="105"/>
    </row>
    <row r="89" customFormat="false" ht="13.5" hidden="false" customHeight="false" outlineLevel="0" collapsed="false">
      <c r="C89" s="104" t="s">
        <v>75</v>
      </c>
      <c r="D89" s="106"/>
      <c r="E89" s="107"/>
      <c r="F89" s="104"/>
      <c r="G89" s="108"/>
      <c r="H89" s="103"/>
      <c r="I89" s="103"/>
      <c r="J89" s="103"/>
      <c r="K89" s="103"/>
      <c r="L89" s="103"/>
      <c r="M89" s="104"/>
      <c r="N89" s="105"/>
      <c r="O89" s="105"/>
    </row>
    <row r="90" customFormat="false" ht="13.5" hidden="false" customHeight="true" outlineLevel="0" collapsed="false">
      <c r="C90" s="104" t="s">
        <v>76</v>
      </c>
      <c r="D90" s="104"/>
      <c r="E90" s="104"/>
      <c r="F90" s="104"/>
      <c r="G90" s="104"/>
      <c r="H90" s="104"/>
      <c r="I90" s="104"/>
      <c r="J90" s="104"/>
      <c r="K90" s="104"/>
      <c r="L90" s="104"/>
      <c r="M90" s="104"/>
      <c r="N90" s="104"/>
      <c r="O90" s="104"/>
    </row>
    <row r="91" customFormat="false" ht="13.5" hidden="false" customHeight="false" outlineLevel="0" collapsed="false">
      <c r="C91" s="104" t="s">
        <v>77</v>
      </c>
      <c r="D91" s="104"/>
      <c r="E91" s="104"/>
      <c r="F91" s="104"/>
      <c r="G91" s="104"/>
      <c r="H91" s="104"/>
      <c r="I91" s="104"/>
      <c r="J91" s="104"/>
      <c r="K91" s="104"/>
      <c r="L91" s="104"/>
      <c r="M91" s="104"/>
      <c r="N91" s="104"/>
      <c r="O91" s="104"/>
    </row>
    <row r="92" customFormat="false" ht="13.5" hidden="false" customHeight="false" outlineLevel="0" collapsed="false">
      <c r="C92" s="104" t="s">
        <v>78</v>
      </c>
      <c r="D92" s="106"/>
      <c r="E92" s="107"/>
      <c r="F92" s="104"/>
      <c r="G92" s="108"/>
      <c r="H92" s="108"/>
      <c r="I92" s="108"/>
      <c r="J92" s="108"/>
      <c r="K92" s="108"/>
      <c r="L92" s="108"/>
      <c r="M92" s="104"/>
      <c r="N92" s="105"/>
      <c r="O92" s="105"/>
    </row>
    <row r="93" customFormat="false" ht="13.5" hidden="false" customHeight="false" outlineLevel="0" collapsed="false">
      <c r="C93" s="104" t="s">
        <v>79</v>
      </c>
      <c r="D93" s="106"/>
      <c r="E93" s="107"/>
      <c r="F93" s="104"/>
      <c r="G93" s="108"/>
      <c r="H93" s="108"/>
      <c r="I93" s="108"/>
      <c r="J93" s="108"/>
      <c r="K93" s="108"/>
      <c r="L93" s="108"/>
      <c r="M93" s="104"/>
      <c r="N93" s="105"/>
      <c r="O93" s="105"/>
    </row>
    <row r="94" customFormat="false" ht="13.5" hidden="false" customHeight="false" outlineLevel="0" collapsed="false">
      <c r="C94" s="109" t="s">
        <v>80</v>
      </c>
      <c r="D94" s="109"/>
      <c r="E94" s="109"/>
      <c r="F94" s="109"/>
      <c r="G94" s="109"/>
      <c r="H94" s="109"/>
      <c r="I94" s="109"/>
      <c r="J94" s="109"/>
      <c r="K94" s="109"/>
      <c r="L94" s="109"/>
      <c r="M94" s="109"/>
      <c r="N94" s="109"/>
      <c r="O94" s="109"/>
    </row>
    <row r="95" customFormat="false" ht="13.5" hidden="false" customHeight="false" outlineLevel="0" collapsed="false">
      <c r="C95" s="104" t="s">
        <v>81</v>
      </c>
      <c r="D95" s="106"/>
      <c r="E95" s="107"/>
      <c r="F95" s="104"/>
      <c r="G95" s="108"/>
      <c r="H95" s="108"/>
      <c r="I95" s="108"/>
      <c r="J95" s="108"/>
      <c r="K95" s="108"/>
      <c r="L95" s="108"/>
      <c r="M95" s="104"/>
      <c r="N95" s="105"/>
      <c r="O95" s="105"/>
    </row>
    <row r="96" customFormat="false" ht="13.5" hidden="false" customHeight="false" outlineLevel="0" collapsed="false">
      <c r="C96" s="104" t="s">
        <v>82</v>
      </c>
      <c r="D96" s="106"/>
      <c r="E96" s="107"/>
      <c r="F96" s="104"/>
      <c r="G96" s="108"/>
      <c r="H96" s="108"/>
      <c r="I96" s="108"/>
      <c r="J96" s="108"/>
      <c r="K96" s="108"/>
      <c r="L96" s="108"/>
      <c r="M96" s="104"/>
      <c r="N96" s="105"/>
      <c r="O96" s="105"/>
    </row>
    <row r="99" customFormat="false" ht="13.5" hidden="false" customHeight="false" outlineLevel="0" collapsed="false">
      <c r="C99" s="114" t="s">
        <v>85</v>
      </c>
    </row>
    <row r="100" customFormat="false" ht="13.5" hidden="false" customHeight="false" outlineLevel="0" collapsed="false">
      <c r="C100" s="114" t="s">
        <v>86</v>
      </c>
      <c r="D100" s="1"/>
      <c r="E100" s="1"/>
      <c r="G100" s="1"/>
      <c r="H100" s="1"/>
      <c r="I100" s="1"/>
      <c r="J100" s="1"/>
      <c r="K100" s="1"/>
      <c r="L100" s="1"/>
    </row>
    <row r="101" customFormat="false" ht="13.5" hidden="false" customHeight="false" outlineLevel="0" collapsed="false">
      <c r="C101" s="1" t="s">
        <v>87</v>
      </c>
      <c r="D101" s="1"/>
      <c r="E101" s="1"/>
      <c r="G101" s="1"/>
      <c r="H101" s="1"/>
      <c r="I101" s="1"/>
      <c r="J101" s="1"/>
      <c r="K101" s="1"/>
      <c r="L101" s="1"/>
    </row>
    <row r="102" customFormat="false" ht="13.5" hidden="false" customHeight="false" outlineLevel="0" collapsed="false">
      <c r="C102" s="1" t="s">
        <v>88</v>
      </c>
      <c r="D102" s="1"/>
      <c r="E102" s="1"/>
      <c r="G102" s="1"/>
      <c r="H102" s="1"/>
      <c r="I102" s="1"/>
      <c r="J102" s="1"/>
      <c r="K102" s="1"/>
      <c r="L102" s="1"/>
    </row>
    <row r="103" customFormat="false" ht="13.5" hidden="false" customHeight="false" outlineLevel="0" collapsed="false">
      <c r="C103" s="114" t="s">
        <v>89</v>
      </c>
      <c r="D103" s="1"/>
      <c r="E103" s="1"/>
      <c r="G103" s="1"/>
      <c r="H103" s="1"/>
      <c r="I103" s="1"/>
      <c r="J103" s="1"/>
      <c r="K103" s="1"/>
      <c r="L103" s="1"/>
    </row>
    <row r="104" customFormat="false" ht="13.5" hidden="false" customHeight="false" outlineLevel="0" collapsed="false">
      <c r="C104" s="1" t="s">
        <v>90</v>
      </c>
      <c r="D104" s="1"/>
      <c r="E104" s="1"/>
      <c r="G104" s="1"/>
      <c r="H104" s="1"/>
      <c r="I104" s="1"/>
      <c r="J104" s="1"/>
      <c r="K104" s="1"/>
      <c r="L104" s="1"/>
    </row>
    <row r="105" customFormat="false" ht="13.5" hidden="false" customHeight="false" outlineLevel="0" collapsed="false">
      <c r="C105" s="1" t="s">
        <v>91</v>
      </c>
      <c r="D105" s="1"/>
      <c r="E105" s="1"/>
      <c r="G105" s="1"/>
      <c r="H105" s="1"/>
      <c r="I105" s="1"/>
      <c r="J105" s="1"/>
      <c r="K105" s="1"/>
      <c r="L105" s="1"/>
    </row>
    <row r="106" customFormat="false" ht="13.5" hidden="false" customHeight="false" outlineLevel="0" collapsed="false">
      <c r="C106" s="114" t="s">
        <v>92</v>
      </c>
      <c r="D106" s="1"/>
      <c r="E106" s="1"/>
      <c r="G106" s="1"/>
      <c r="H106" s="1"/>
      <c r="I106" s="1"/>
      <c r="J106" s="1"/>
      <c r="K106" s="1"/>
      <c r="L106" s="1"/>
    </row>
    <row r="107" customFormat="false" ht="13.5" hidden="false" customHeight="false" outlineLevel="0" collapsed="false">
      <c r="C107" s="1" t="s">
        <v>93</v>
      </c>
    </row>
    <row r="108" customFormat="false" ht="13.5" hidden="false" customHeight="false" outlineLevel="0" collapsed="false">
      <c r="C108" s="114" t="s">
        <v>94</v>
      </c>
    </row>
    <row r="109" customFormat="false" ht="13.5" hidden="false" customHeight="false" outlineLevel="0" collapsed="false">
      <c r="C109" s="1" t="s">
        <v>95</v>
      </c>
    </row>
  </sheetData>
  <mergeCells count="5">
    <mergeCell ref="E26:I26"/>
    <mergeCell ref="E41:I41"/>
    <mergeCell ref="E55:I55"/>
    <mergeCell ref="C85:P85"/>
    <mergeCell ref="C94:O94"/>
  </mergeCells>
  <printOptions headings="true" gridLines="true" gridLinesSet="true" horizontalCentered="false" verticalCentered="false"/>
  <pageMargins left="0.7" right="0.7" top="0.75" bottom="0.75" header="0.511811023622047" footer="0.511811023622047"/>
  <pageSetup paperSize="1" scale="62"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T10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K18" activeCellId="0" sqref="K18"/>
    </sheetView>
  </sheetViews>
  <sheetFormatPr defaultColWidth="9.1640625" defaultRowHeight="13.5" zeroHeight="false" outlineLevelRow="0" outlineLevelCol="0"/>
  <cols>
    <col collapsed="false" customWidth="true" hidden="false" outlineLevel="0" max="2" min="1" style="1" width="10.66"/>
    <col collapsed="false" customWidth="true" hidden="false" outlineLevel="0" max="3" min="3" style="1" width="42.16"/>
    <col collapsed="false" customWidth="true" hidden="false" outlineLevel="0" max="4" min="4" style="2" width="10.66"/>
    <col collapsed="false" customWidth="true" hidden="false" outlineLevel="0" max="5" min="5" style="3" width="10.83"/>
    <col collapsed="false" customWidth="true" hidden="false" outlineLevel="0" max="6" min="6" style="1" width="17.5"/>
    <col collapsed="false" customWidth="true" hidden="false" outlineLevel="0" max="8" min="7" style="4" width="10.66"/>
    <col collapsed="false" customWidth="true" hidden="false" outlineLevel="0" max="9" min="9" style="4" width="11.16"/>
    <col collapsed="false" customWidth="true" hidden="false" outlineLevel="0" max="10" min="10" style="4" width="3.5"/>
    <col collapsed="false" customWidth="true" hidden="false" outlineLevel="0" max="12" min="11" style="4" width="10.66"/>
    <col collapsed="false" customWidth="true" hidden="false" outlineLevel="0" max="13" min="13" style="1" width="7.5"/>
    <col collapsed="false" customWidth="true" hidden="false" outlineLevel="0" max="14" min="14" style="1" width="12"/>
    <col collapsed="false" customWidth="true" hidden="false" outlineLevel="0" max="15" min="15" style="1" width="10.66"/>
    <col collapsed="false" customWidth="false" hidden="false" outlineLevel="0" max="20" min="16" style="1" width="9.16"/>
  </cols>
  <sheetData>
    <row r="1" customFormat="false" ht="13.8" hidden="false" customHeight="false" outlineLevel="0" collapsed="false">
      <c r="F1" s="2"/>
      <c r="G1" s="2"/>
      <c r="H1" s="2"/>
      <c r="I1" s="3"/>
      <c r="J1" s="1"/>
      <c r="M1" s="4"/>
      <c r="N1" s="4"/>
      <c r="O1" s="4"/>
      <c r="P1" s="4"/>
    </row>
    <row r="2" customFormat="false" ht="13.8" hidden="false" customHeight="false" outlineLevel="0" collapsed="false">
      <c r="C2" s="5" t="s">
        <v>96</v>
      </c>
      <c r="D2" s="6"/>
      <c r="F2" s="6"/>
      <c r="G2" s="6"/>
      <c r="H2" s="6"/>
      <c r="I2" s="7"/>
      <c r="J2" s="5"/>
      <c r="K2" s="8"/>
      <c r="L2" s="8"/>
      <c r="M2" s="8"/>
      <c r="N2" s="8"/>
      <c r="O2" s="8"/>
      <c r="P2" s="8"/>
      <c r="Q2" s="5"/>
      <c r="R2" s="5"/>
      <c r="S2" s="5"/>
    </row>
    <row r="3" customFormat="false" ht="13.8" hidden="false" customHeight="false" outlineLevel="0" collapsed="false">
      <c r="C3" s="5" t="s">
        <v>1</v>
      </c>
      <c r="D3" s="9" t="s">
        <v>2</v>
      </c>
      <c r="F3" s="10"/>
      <c r="G3" s="10"/>
      <c r="H3" s="10"/>
      <c r="I3" s="7"/>
      <c r="R3" s="5"/>
      <c r="S3" s="5"/>
    </row>
    <row r="4" customFormat="false" ht="13.8" hidden="false" customHeight="false" outlineLevel="0" collapsed="false">
      <c r="C4" s="110" t="s">
        <v>97</v>
      </c>
      <c r="D4" s="6"/>
      <c r="F4" s="6"/>
      <c r="G4" s="6"/>
      <c r="H4" s="6"/>
      <c r="I4" s="7"/>
      <c r="R4" s="5"/>
      <c r="S4" s="5"/>
    </row>
    <row r="5" customFormat="false" ht="13.8" hidden="false" customHeight="false" outlineLevel="0" collapsed="false">
      <c r="C5" s="11" t="s">
        <v>3</v>
      </c>
      <c r="D5" s="12"/>
    </row>
    <row r="6" customFormat="false" ht="13.8" hidden="false" customHeight="false" outlineLevel="0" collapsed="false">
      <c r="C6" s="5" t="s">
        <v>4</v>
      </c>
      <c r="D6" s="13" t="n">
        <v>8.9</v>
      </c>
    </row>
    <row r="7" customFormat="false" ht="13.8" hidden="false" customHeight="false" outlineLevel="0" collapsed="false">
      <c r="C7" s="5" t="s">
        <v>5</v>
      </c>
      <c r="D7" s="14" t="n">
        <f aca="false">D30</f>
        <v>123.5</v>
      </c>
    </row>
    <row r="8" customFormat="false" ht="13.8" hidden="false" customHeight="false" outlineLevel="0" collapsed="false">
      <c r="C8" s="5" t="s">
        <v>6</v>
      </c>
      <c r="D8" s="15" t="n">
        <f aca="false">D6*D7</f>
        <v>1099.15</v>
      </c>
    </row>
    <row r="9" customFormat="false" ht="13.8" hidden="false" customHeight="false" outlineLevel="0" collapsed="false">
      <c r="C9" s="5" t="s">
        <v>7</v>
      </c>
      <c r="D9" s="14" t="n">
        <v>486</v>
      </c>
    </row>
    <row r="10" customFormat="false" ht="13.8" hidden="false" customHeight="false" outlineLevel="0" collapsed="false">
      <c r="C10" s="5" t="s">
        <v>8</v>
      </c>
      <c r="D10" s="16" t="n">
        <f aca="false">D8-D9</f>
        <v>613.15</v>
      </c>
    </row>
    <row r="11" customFormat="false" ht="13.8" hidden="false" customHeight="false" outlineLevel="0" collapsed="false">
      <c r="C11" s="5" t="s">
        <v>9</v>
      </c>
      <c r="D11" s="17" t="n">
        <v>5</v>
      </c>
    </row>
    <row r="12" customFormat="false" ht="13.8" hidden="false" customHeight="false" outlineLevel="0" collapsed="false">
      <c r="C12" s="5" t="s">
        <v>10</v>
      </c>
      <c r="D12" s="18" t="n">
        <v>4.25</v>
      </c>
    </row>
    <row r="13" customFormat="false" ht="13.8" hidden="false" customHeight="false" outlineLevel="0" collapsed="false">
      <c r="C13" s="5" t="s">
        <v>11</v>
      </c>
      <c r="D13" s="19" t="n">
        <v>0.05</v>
      </c>
    </row>
    <row r="14" customFormat="false" ht="13.8" hidden="false" customHeight="false" outlineLevel="0" collapsed="false">
      <c r="C14" s="5" t="s">
        <v>12</v>
      </c>
      <c r="D14" s="9" t="n">
        <v>0.03</v>
      </c>
    </row>
    <row r="15" customFormat="false" ht="13.8" hidden="false" customHeight="false" outlineLevel="0" collapsed="false">
      <c r="C15" s="5"/>
      <c r="D15" s="6"/>
    </row>
    <row r="16" customFormat="false" ht="13.8" hidden="false" customHeight="false" outlineLevel="0" collapsed="false">
      <c r="C16" s="20" t="s">
        <v>13</v>
      </c>
      <c r="D16" s="21"/>
      <c r="E16" s="22"/>
      <c r="F16" s="23"/>
      <c r="G16" s="24"/>
      <c r="H16" s="23"/>
      <c r="I16" s="23"/>
    </row>
    <row r="17" customFormat="false" ht="13.8" hidden="false" customHeight="false" outlineLevel="0" collapsed="false">
      <c r="I17" s="7"/>
    </row>
    <row r="18" customFormat="false" ht="13.8" hidden="false" customHeight="false" outlineLevel="0" collapsed="false">
      <c r="C18" s="11" t="s">
        <v>14</v>
      </c>
      <c r="D18" s="12"/>
      <c r="F18" s="11" t="s">
        <v>15</v>
      </c>
      <c r="G18" s="12"/>
      <c r="H18" s="12"/>
      <c r="I18" s="12"/>
      <c r="K18" s="25" t="n">
        <v>45555</v>
      </c>
      <c r="L18" s="1"/>
    </row>
    <row r="19" customFormat="false" ht="13.8" hidden="false" customHeight="false" outlineLevel="0" collapsed="false">
      <c r="A19" s="26"/>
      <c r="B19" s="27"/>
      <c r="C19" s="5" t="s">
        <v>16</v>
      </c>
      <c r="D19" s="28" t="n">
        <v>0</v>
      </c>
      <c r="F19" s="5" t="s">
        <v>17</v>
      </c>
      <c r="I19" s="16" t="n">
        <f aca="false">D10</f>
        <v>613.15</v>
      </c>
      <c r="K19" s="27" t="s">
        <v>18</v>
      </c>
      <c r="L19" s="27" t="s">
        <v>19</v>
      </c>
    </row>
    <row r="20" customFormat="false" ht="13.8" hidden="false" customHeight="false" outlineLevel="0" collapsed="false">
      <c r="A20" s="26"/>
      <c r="B20" s="27"/>
      <c r="C20" s="5" t="s">
        <v>20</v>
      </c>
      <c r="D20" s="16" t="n">
        <f aca="false">$D$12*$D$7</f>
        <v>524.875</v>
      </c>
      <c r="F20" s="5" t="s">
        <v>21</v>
      </c>
      <c r="I20" s="16" t="n">
        <f aca="false">D9</f>
        <v>486</v>
      </c>
      <c r="K20" s="29" t="n">
        <v>0.0533</v>
      </c>
      <c r="L20" s="29" t="n">
        <v>0.0425</v>
      </c>
      <c r="R20" s="30"/>
      <c r="S20" s="30"/>
      <c r="T20" s="30"/>
    </row>
    <row r="21" customFormat="false" ht="13.8" hidden="false" customHeight="false" outlineLevel="0" collapsed="false">
      <c r="C21" s="5" t="s">
        <v>11</v>
      </c>
      <c r="D21" s="16" t="n">
        <f aca="false">$D$10*$D$13</f>
        <v>30.6575</v>
      </c>
      <c r="F21" s="5" t="s">
        <v>22</v>
      </c>
      <c r="I21" s="16" t="n">
        <f aca="false">$D$8*$D$14</f>
        <v>32.9745</v>
      </c>
      <c r="K21" s="29" t="n">
        <v>0.0533</v>
      </c>
      <c r="L21" s="29" t="n">
        <v>0.0475</v>
      </c>
      <c r="R21" s="30"/>
      <c r="S21" s="30"/>
      <c r="T21" s="30"/>
    </row>
    <row r="22" customFormat="false" ht="13.8" hidden="false" customHeight="false" outlineLevel="0" collapsed="false">
      <c r="B22" s="26"/>
      <c r="C22" s="5" t="s">
        <v>23</v>
      </c>
      <c r="D22" s="16" t="n">
        <f aca="false">D23-SUM(D19:D21)</f>
        <v>576.592</v>
      </c>
      <c r="K22" s="1"/>
      <c r="L22" s="31"/>
      <c r="R22" s="5"/>
      <c r="S22" s="5"/>
    </row>
    <row r="23" customFormat="false" ht="13.8" hidden="false" customHeight="false" outlineLevel="0" collapsed="false">
      <c r="C23" s="11" t="s">
        <v>24</v>
      </c>
      <c r="D23" s="32" t="n">
        <f aca="false">I23</f>
        <v>1132.1245</v>
      </c>
      <c r="F23" s="11" t="s">
        <v>25</v>
      </c>
      <c r="G23" s="12"/>
      <c r="H23" s="12"/>
      <c r="I23" s="32" t="n">
        <f aca="false">I19+I20+I21</f>
        <v>1132.1245</v>
      </c>
      <c r="R23" s="33"/>
      <c r="S23" s="33"/>
    </row>
    <row r="24" customFormat="false" ht="13.8" hidden="false" customHeight="false" outlineLevel="0" collapsed="false">
      <c r="R24" s="34"/>
      <c r="S24" s="34"/>
    </row>
    <row r="25" customFormat="false" ht="13.8" hidden="false" customHeight="false" outlineLevel="0" collapsed="false">
      <c r="R25" s="34"/>
      <c r="S25" s="34"/>
    </row>
    <row r="26" customFormat="false" ht="13.8" hidden="false" customHeight="false" outlineLevel="0" collapsed="false">
      <c r="C26" s="35"/>
      <c r="D26" s="36" t="s">
        <v>26</v>
      </c>
      <c r="E26" s="37" t="s">
        <v>27</v>
      </c>
      <c r="F26" s="37"/>
      <c r="G26" s="37"/>
      <c r="H26" s="37"/>
      <c r="I26" s="37"/>
      <c r="J26" s="5"/>
      <c r="R26" s="34"/>
      <c r="S26" s="34"/>
    </row>
    <row r="27" customFormat="false" ht="13.8" hidden="false" customHeight="false" outlineLevel="0" collapsed="false">
      <c r="C27" s="38" t="s">
        <v>28</v>
      </c>
      <c r="D27" s="39" t="n">
        <v>2014</v>
      </c>
      <c r="E27" s="36" t="n">
        <f aca="false">D27+1</f>
        <v>2015</v>
      </c>
      <c r="F27" s="40" t="n">
        <f aca="false">+E27+1</f>
        <v>2016</v>
      </c>
      <c r="G27" s="40" t="n">
        <f aca="false">+F27+1</f>
        <v>2017</v>
      </c>
      <c r="H27" s="40" t="n">
        <f aca="false">+G27+1</f>
        <v>2018</v>
      </c>
      <c r="I27" s="40" t="n">
        <f aca="false">+H27+1</f>
        <v>2019</v>
      </c>
      <c r="J27" s="5"/>
      <c r="R27" s="34"/>
      <c r="S27" s="34"/>
    </row>
    <row r="28" customFormat="false" ht="13.8" hidden="false" customHeight="false" outlineLevel="0" collapsed="false">
      <c r="C28" s="5" t="s">
        <v>29</v>
      </c>
      <c r="D28" s="28" t="n">
        <v>650</v>
      </c>
      <c r="E28" s="41" t="n">
        <f aca="false">D28*(1+E29)</f>
        <v>702</v>
      </c>
      <c r="F28" s="16" t="n">
        <f aca="false">E28*(1+F29)</f>
        <v>758.16</v>
      </c>
      <c r="G28" s="16" t="n">
        <f aca="false">F28*(1+G29)</f>
        <v>818.8128</v>
      </c>
      <c r="H28" s="16" t="n">
        <f aca="false">G28*(1+H29)</f>
        <v>884.317824</v>
      </c>
      <c r="I28" s="16" t="n">
        <f aca="false">H28*(1+I29)</f>
        <v>955.06324992</v>
      </c>
      <c r="J28" s="5"/>
      <c r="R28" s="34"/>
      <c r="S28" s="34"/>
    </row>
    <row r="29" customFormat="false" ht="13.8" hidden="false" customHeight="false" outlineLevel="0" collapsed="false">
      <c r="C29" s="42" t="s">
        <v>30</v>
      </c>
      <c r="D29" s="43" t="n">
        <v>0.081</v>
      </c>
      <c r="E29" s="111" t="n">
        <v>0.08</v>
      </c>
      <c r="F29" s="112" t="n">
        <v>0.08</v>
      </c>
      <c r="G29" s="112" t="n">
        <v>0.08</v>
      </c>
      <c r="H29" s="112" t="n">
        <v>0.08</v>
      </c>
      <c r="I29" s="112" t="n">
        <v>0.08</v>
      </c>
      <c r="J29" s="5"/>
      <c r="R29" s="34"/>
      <c r="S29" s="34"/>
    </row>
    <row r="30" customFormat="false" ht="13.8" hidden="false" customHeight="false" outlineLevel="0" collapsed="false">
      <c r="C30" s="5" t="s">
        <v>5</v>
      </c>
      <c r="D30" s="28" t="n">
        <v>123.5</v>
      </c>
      <c r="E30" s="46" t="n">
        <f aca="false">E28*E31</f>
        <v>136.89</v>
      </c>
      <c r="F30" s="16" t="n">
        <f aca="false">F28*F31</f>
        <v>147.8412</v>
      </c>
      <c r="G30" s="16" t="n">
        <f aca="false">G28*G31</f>
        <v>159.668496</v>
      </c>
      <c r="H30" s="16" t="n">
        <f aca="false">H28*H31</f>
        <v>172.44197568</v>
      </c>
      <c r="I30" s="16" t="n">
        <f aca="false">I28*I31</f>
        <v>186.2373337344</v>
      </c>
      <c r="J30" s="5"/>
      <c r="R30" s="47"/>
      <c r="S30" s="47"/>
    </row>
    <row r="31" customFormat="false" ht="13.8" hidden="false" customHeight="false" outlineLevel="0" collapsed="false">
      <c r="C31" s="42" t="s">
        <v>31</v>
      </c>
      <c r="D31" s="48" t="n">
        <f aca="false">D30/D28</f>
        <v>0.19</v>
      </c>
      <c r="E31" s="111" t="n">
        <v>0.195</v>
      </c>
      <c r="F31" s="112" t="n">
        <v>0.195</v>
      </c>
      <c r="G31" s="112" t="n">
        <v>0.195</v>
      </c>
      <c r="H31" s="112" t="n">
        <v>0.195</v>
      </c>
      <c r="I31" s="112" t="n">
        <v>0.195</v>
      </c>
      <c r="J31" s="5"/>
      <c r="R31" s="47"/>
      <c r="S31" s="47"/>
    </row>
    <row r="32" customFormat="false" ht="13.8" hidden="false" customHeight="false" outlineLevel="0" collapsed="false">
      <c r="C32" s="49" t="s">
        <v>32</v>
      </c>
      <c r="D32" s="28" t="n">
        <v>30</v>
      </c>
      <c r="E32" s="46" t="n">
        <f aca="false">E44</f>
        <v>32.4</v>
      </c>
      <c r="F32" s="16" t="n">
        <f aca="false">F44</f>
        <v>34.992</v>
      </c>
      <c r="G32" s="16" t="n">
        <f aca="false">G44</f>
        <v>37.79136</v>
      </c>
      <c r="H32" s="16" t="n">
        <f aca="false">H44</f>
        <v>40.8146688000001</v>
      </c>
      <c r="I32" s="16" t="n">
        <f aca="false">I44</f>
        <v>44.0798423040001</v>
      </c>
      <c r="J32" s="5"/>
      <c r="R32" s="47"/>
      <c r="S32" s="47"/>
    </row>
    <row r="33" customFormat="false" ht="13.8" hidden="false" customHeight="false" outlineLevel="0" collapsed="false">
      <c r="C33" s="50" t="s">
        <v>33</v>
      </c>
      <c r="D33" s="48" t="n">
        <f aca="false">D32/$D$44</f>
        <v>1</v>
      </c>
      <c r="E33" s="51" t="n">
        <f aca="false">E32/E44</f>
        <v>1</v>
      </c>
      <c r="F33" s="52" t="n">
        <f aca="false">F32/F44</f>
        <v>1</v>
      </c>
      <c r="G33" s="52" t="n">
        <f aca="false">G32/G44</f>
        <v>1</v>
      </c>
      <c r="H33" s="52" t="n">
        <f aca="false">H32/H44</f>
        <v>1</v>
      </c>
      <c r="I33" s="52" t="n">
        <f aca="false">I32/I44</f>
        <v>1</v>
      </c>
      <c r="J33" s="5"/>
      <c r="R33" s="47"/>
      <c r="S33" s="47"/>
    </row>
    <row r="34" customFormat="false" ht="13.8" hidden="false" customHeight="false" outlineLevel="0" collapsed="false">
      <c r="C34" s="49" t="s">
        <v>34</v>
      </c>
      <c r="D34" s="28" t="n">
        <v>74.8</v>
      </c>
      <c r="E34" s="46" t="n">
        <f aca="false">E30-E32</f>
        <v>104.49</v>
      </c>
      <c r="F34" s="16" t="n">
        <f aca="false">F30-F32</f>
        <v>112.8492</v>
      </c>
      <c r="G34" s="16" t="n">
        <f aca="false">G30-G32</f>
        <v>121.877136</v>
      </c>
      <c r="H34" s="16" t="n">
        <f aca="false">H30-H32</f>
        <v>131.62730688</v>
      </c>
      <c r="I34" s="16" t="n">
        <f aca="false">I30-I32</f>
        <v>142.1574914304</v>
      </c>
      <c r="J34" s="5"/>
    </row>
    <row r="35" customFormat="false" ht="13.5" hidden="false" customHeight="true" outlineLevel="0" collapsed="false">
      <c r="C35" s="50" t="s">
        <v>31</v>
      </c>
      <c r="D35" s="53" t="n">
        <f aca="false">D34/D28</f>
        <v>0.115076923076923</v>
      </c>
      <c r="E35" s="54" t="n">
        <f aca="false">E34/E28</f>
        <v>0.148846153846154</v>
      </c>
      <c r="F35" s="53" t="n">
        <f aca="false">F34/F28</f>
        <v>0.148846153846154</v>
      </c>
      <c r="G35" s="53" t="n">
        <f aca="false">G34/G28</f>
        <v>0.148846153846154</v>
      </c>
      <c r="H35" s="53" t="n">
        <f aca="false">H34/H28</f>
        <v>0.148846153846154</v>
      </c>
      <c r="I35" s="53" t="n">
        <f aca="false">I34/I28</f>
        <v>0.148846153846154</v>
      </c>
      <c r="J35" s="5"/>
    </row>
    <row r="36" customFormat="false" ht="13.5" hidden="false" customHeight="false" outlineLevel="0" collapsed="false">
      <c r="C36" s="49" t="s">
        <v>35</v>
      </c>
      <c r="D36" s="55" t="s">
        <v>36</v>
      </c>
      <c r="E36" s="56" t="n">
        <f aca="false">E63</f>
        <v>51.0907083728672</v>
      </c>
      <c r="F36" s="57" t="n">
        <f aca="false">F63</f>
        <v>47.0029751369083</v>
      </c>
      <c r="G36" s="57" t="n">
        <f aca="false">G63</f>
        <v>41.9459146033512</v>
      </c>
      <c r="H36" s="57" t="n">
        <f aca="false">H63</f>
        <v>35.7915141720233</v>
      </c>
      <c r="I36" s="57" t="n">
        <f aca="false">I63</f>
        <v>28.3975548497493</v>
      </c>
      <c r="J36" s="5"/>
    </row>
    <row r="37" customFormat="false" ht="24.75" hidden="false" customHeight="true" outlineLevel="0" collapsed="false">
      <c r="C37" s="49" t="s">
        <v>37</v>
      </c>
      <c r="D37" s="28" t="n">
        <v>23.4</v>
      </c>
      <c r="E37" s="56" t="n">
        <f aca="false">E34-E36</f>
        <v>53.3992912708834</v>
      </c>
      <c r="F37" s="57" t="n">
        <f aca="false">F34-F36</f>
        <v>65.8462220290206</v>
      </c>
      <c r="G37" s="57" t="n">
        <f aca="false">G34-G36</f>
        <v>79.9312098320101</v>
      </c>
      <c r="H37" s="57" t="n">
        <f aca="false">H34-H36</f>
        <v>95.835758286059</v>
      </c>
      <c r="I37" s="57" t="n">
        <f aca="false">I34-I36</f>
        <v>113.759851712477</v>
      </c>
      <c r="J37" s="5"/>
    </row>
    <row r="38" customFormat="false" ht="13.8" hidden="false" customHeight="false" outlineLevel="0" collapsed="false">
      <c r="C38" s="5" t="s">
        <v>38</v>
      </c>
      <c r="D38" s="28" t="s">
        <v>36</v>
      </c>
      <c r="E38" s="56" t="n">
        <f aca="false">E37*E54</f>
        <v>13.3498228177209</v>
      </c>
      <c r="F38" s="57" t="n">
        <f aca="false">F37*F54</f>
        <v>16.4615555072552</v>
      </c>
      <c r="G38" s="57" t="n">
        <f aca="false">G37*G54</f>
        <v>19.9828024580025</v>
      </c>
      <c r="H38" s="57" t="n">
        <f aca="false">H37*H54</f>
        <v>23.9589395715147</v>
      </c>
      <c r="I38" s="57" t="n">
        <f aca="false">I37*I54</f>
        <v>28.4399629281193</v>
      </c>
      <c r="J38" s="5"/>
    </row>
    <row r="39" customFormat="false" ht="13.8" hidden="false" customHeight="false" outlineLevel="0" collapsed="false">
      <c r="C39" s="49" t="s">
        <v>39</v>
      </c>
      <c r="D39" s="28" t="n">
        <v>10.5</v>
      </c>
      <c r="E39" s="56" t="n">
        <f aca="false">E37-E38</f>
        <v>40.0494684531626</v>
      </c>
      <c r="F39" s="57" t="n">
        <f aca="false">F37-F38</f>
        <v>49.3846665217654</v>
      </c>
      <c r="G39" s="57" t="n">
        <f aca="false">G37-G38</f>
        <v>59.9484073740076</v>
      </c>
      <c r="H39" s="57" t="n">
        <f aca="false">H37-H38</f>
        <v>71.8768187145442</v>
      </c>
      <c r="I39" s="57" t="n">
        <f aca="false">I37-I38</f>
        <v>85.3198887843578</v>
      </c>
      <c r="J39" s="5"/>
    </row>
    <row r="40" customFormat="false" ht="13.8" hidden="false" customHeight="false" outlineLevel="0" collapsed="false">
      <c r="C40" s="50" t="s">
        <v>31</v>
      </c>
      <c r="D40" s="52" t="n">
        <f aca="false">D39/D28</f>
        <v>0.0161538461538462</v>
      </c>
      <c r="E40" s="58" t="n">
        <f aca="false">E39/E28</f>
        <v>0.057050524862055</v>
      </c>
      <c r="F40" s="59" t="n">
        <f aca="false">F39/F28</f>
        <v>0.0651375257488729</v>
      </c>
      <c r="G40" s="59" t="n">
        <f aca="false">G39/G28</f>
        <v>0.0732138131866131</v>
      </c>
      <c r="H40" s="59" t="n">
        <f aca="false">H39/H28</f>
        <v>0.0812793961218905</v>
      </c>
      <c r="I40" s="59" t="n">
        <f aca="false">I39/I28</f>
        <v>0.0893342810452654</v>
      </c>
      <c r="J40" s="5"/>
    </row>
    <row r="41" customFormat="false" ht="13.8" hidden="false" customHeight="false" outlineLevel="0" collapsed="false">
      <c r="C41" s="60"/>
      <c r="D41" s="36" t="s">
        <v>40</v>
      </c>
      <c r="E41" s="37" t="s">
        <v>27</v>
      </c>
      <c r="F41" s="37"/>
      <c r="G41" s="37"/>
      <c r="H41" s="37"/>
      <c r="I41" s="37"/>
      <c r="J41" s="5"/>
    </row>
    <row r="42" customFormat="false" ht="13.8" hidden="false" customHeight="false" outlineLevel="0" collapsed="false">
      <c r="C42" s="11" t="s">
        <v>41</v>
      </c>
      <c r="D42" s="39" t="n">
        <v>2014</v>
      </c>
      <c r="E42" s="36" t="n">
        <f aca="false">D42+1</f>
        <v>2015</v>
      </c>
      <c r="F42" s="40" t="n">
        <f aca="false">+E42+1</f>
        <v>2016</v>
      </c>
      <c r="G42" s="40" t="n">
        <f aca="false">+F42+1</f>
        <v>2017</v>
      </c>
      <c r="H42" s="40" t="n">
        <f aca="false">+G42+1</f>
        <v>2018</v>
      </c>
      <c r="I42" s="40" t="n">
        <f aca="false">+H42+1</f>
        <v>2019</v>
      </c>
      <c r="J42" s="5"/>
    </row>
    <row r="43" customFormat="false" ht="13.8" hidden="false" customHeight="false" outlineLevel="0" collapsed="false">
      <c r="C43" s="5" t="s">
        <v>5</v>
      </c>
      <c r="D43" s="16" t="n">
        <f aca="false">D30</f>
        <v>123.5</v>
      </c>
      <c r="E43" s="41" t="n">
        <f aca="false">E30</f>
        <v>136.89</v>
      </c>
      <c r="F43" s="16" t="n">
        <f aca="false">F30</f>
        <v>147.8412</v>
      </c>
      <c r="G43" s="16" t="n">
        <f aca="false">G30</f>
        <v>159.668496</v>
      </c>
      <c r="H43" s="16" t="n">
        <f aca="false">H30</f>
        <v>172.44197568</v>
      </c>
      <c r="I43" s="16" t="n">
        <f aca="false">I30</f>
        <v>186.2373337344</v>
      </c>
      <c r="J43" s="5"/>
    </row>
    <row r="44" customFormat="false" ht="13.8" hidden="false" customHeight="false" outlineLevel="0" collapsed="false">
      <c r="C44" s="5" t="s">
        <v>42</v>
      </c>
      <c r="D44" s="28" t="n">
        <v>30</v>
      </c>
      <c r="E44" s="46" t="n">
        <f aca="false">E28*$E$50</f>
        <v>32.4</v>
      </c>
      <c r="F44" s="16" t="n">
        <f aca="false">F28*$E$50</f>
        <v>34.992</v>
      </c>
      <c r="G44" s="16" t="n">
        <f aca="false">G28*$E$50</f>
        <v>37.79136</v>
      </c>
      <c r="H44" s="16" t="n">
        <f aca="false">H28*$E$50</f>
        <v>40.8146688000001</v>
      </c>
      <c r="I44" s="16" t="n">
        <f aca="false">I28*$E$50</f>
        <v>44.0798423040001</v>
      </c>
      <c r="J44" s="5"/>
    </row>
    <row r="45" customFormat="false" ht="13.8" hidden="false" customHeight="false" outlineLevel="0" collapsed="false">
      <c r="C45" s="5" t="s">
        <v>43</v>
      </c>
      <c r="D45" s="28" t="s">
        <v>36</v>
      </c>
      <c r="E45" s="46" t="n">
        <f aca="false">E53-D53</f>
        <v>4.00400000000001</v>
      </c>
      <c r="F45" s="16" t="n">
        <f aca="false">F53-E53</f>
        <v>4.32432</v>
      </c>
      <c r="G45" s="16" t="n">
        <f aca="false">G53-F53</f>
        <v>4.67026560000001</v>
      </c>
      <c r="H45" s="16" t="n">
        <f aca="false">H53-G53</f>
        <v>5.043886848</v>
      </c>
      <c r="I45" s="16" t="n">
        <f aca="false">I53-H53</f>
        <v>5.44739779584002</v>
      </c>
      <c r="J45" s="5"/>
    </row>
    <row r="46" customFormat="false" ht="13.8" hidden="false" customHeight="false" outlineLevel="0" collapsed="false">
      <c r="C46" s="5" t="s">
        <v>44</v>
      </c>
      <c r="D46" s="61" t="s">
        <v>36</v>
      </c>
      <c r="E46" s="46" t="n">
        <f aca="false">E36</f>
        <v>51.0907083728672</v>
      </c>
      <c r="F46" s="16" t="n">
        <f aca="false">F36</f>
        <v>47.0029751369083</v>
      </c>
      <c r="G46" s="16" t="n">
        <f aca="false">G36</f>
        <v>41.9459146033512</v>
      </c>
      <c r="H46" s="16" t="n">
        <f aca="false">H36</f>
        <v>35.7915141720233</v>
      </c>
      <c r="I46" s="16" t="n">
        <f aca="false">I36</f>
        <v>28.3975548497493</v>
      </c>
      <c r="J46" s="5"/>
    </row>
    <row r="47" customFormat="false" ht="13.8" hidden="false" customHeight="false" outlineLevel="0" collapsed="false">
      <c r="C47" s="5" t="s">
        <v>45</v>
      </c>
      <c r="D47" s="61" t="s">
        <v>36</v>
      </c>
      <c r="E47" s="46" t="n">
        <f aca="false">E38</f>
        <v>13.3498228177209</v>
      </c>
      <c r="F47" s="16" t="n">
        <f aca="false">F38</f>
        <v>16.4615555072552</v>
      </c>
      <c r="G47" s="16" t="n">
        <f aca="false">G38</f>
        <v>19.9828024580025</v>
      </c>
      <c r="H47" s="16" t="n">
        <f aca="false">H38</f>
        <v>23.9589395715147</v>
      </c>
      <c r="I47" s="16" t="n">
        <f aca="false">I38</f>
        <v>28.4399629281193</v>
      </c>
      <c r="J47" s="5"/>
    </row>
    <row r="48" customFormat="false" ht="13.8" hidden="false" customHeight="false" outlineLevel="0" collapsed="false">
      <c r="C48" s="11" t="s">
        <v>46</v>
      </c>
      <c r="D48" s="32" t="s">
        <v>36</v>
      </c>
      <c r="E48" s="62" t="n">
        <f aca="false">E43-SUM(E44:E47)</f>
        <v>36.045468809412</v>
      </c>
      <c r="F48" s="32" t="n">
        <f aca="false">F43-SUM(F44:F47)</f>
        <v>45.0603493558365</v>
      </c>
      <c r="G48" s="32" t="n">
        <f aca="false">G43-SUM(G44:G47)</f>
        <v>55.2781533386462</v>
      </c>
      <c r="H48" s="32" t="n">
        <f aca="false">H43-SUM(H44:H47)</f>
        <v>66.8329662884619</v>
      </c>
      <c r="I48" s="32" t="n">
        <f aca="false">I43-SUM(I44:I47)</f>
        <v>79.8725758566914</v>
      </c>
      <c r="J48" s="5"/>
    </row>
    <row r="49" customFormat="false" ht="13.8" hidden="false" customHeight="false" outlineLevel="0" collapsed="false">
      <c r="C49" s="5"/>
      <c r="D49" s="8"/>
      <c r="E49" s="63"/>
      <c r="F49" s="63"/>
      <c r="G49" s="63"/>
      <c r="H49" s="63"/>
      <c r="I49" s="63"/>
      <c r="J49" s="5"/>
    </row>
    <row r="50" customFormat="false" ht="13.8" hidden="false" customHeight="false" outlineLevel="0" collapsed="false">
      <c r="C50" s="5" t="s">
        <v>47</v>
      </c>
      <c r="D50" s="48" t="n">
        <f aca="false">$D$44/$D$28</f>
        <v>0.0461538461538462</v>
      </c>
      <c r="E50" s="45" t="n">
        <v>0.0461538461538462</v>
      </c>
      <c r="F50" s="45" t="n">
        <v>0.0461538461538462</v>
      </c>
      <c r="G50" s="45" t="n">
        <v>0.0461538461538462</v>
      </c>
      <c r="H50" s="45" t="n">
        <v>0.0461538461538462</v>
      </c>
      <c r="I50" s="45" t="n">
        <v>0.0461538461538462</v>
      </c>
      <c r="J50" s="5"/>
    </row>
    <row r="51" customFormat="false" ht="13.8" hidden="false" customHeight="false" outlineLevel="0" collapsed="false">
      <c r="C51" s="5" t="s">
        <v>48</v>
      </c>
      <c r="D51" s="48" t="n">
        <f aca="false">D32/D44</f>
        <v>1</v>
      </c>
      <c r="E51" s="45" t="n">
        <v>1</v>
      </c>
      <c r="F51" s="45" t="n">
        <v>1</v>
      </c>
      <c r="G51" s="45" t="n">
        <v>1</v>
      </c>
      <c r="H51" s="45" t="n">
        <v>1</v>
      </c>
      <c r="I51" s="45" t="n">
        <v>1</v>
      </c>
      <c r="J51" s="5"/>
    </row>
    <row r="52" customFormat="false" ht="13.8" hidden="false" customHeight="false" outlineLevel="0" collapsed="false">
      <c r="C52" s="5" t="s">
        <v>49</v>
      </c>
      <c r="D52" s="53" t="n">
        <f aca="false">D53/D28</f>
        <v>0.077</v>
      </c>
      <c r="E52" s="45" t="n">
        <v>0.077</v>
      </c>
      <c r="F52" s="45" t="n">
        <v>0.077</v>
      </c>
      <c r="G52" s="45" t="n">
        <v>0.077</v>
      </c>
      <c r="H52" s="45" t="n">
        <v>0.077</v>
      </c>
      <c r="I52" s="45" t="n">
        <v>0.077</v>
      </c>
      <c r="J52" s="5"/>
    </row>
    <row r="53" customFormat="false" ht="13.8" hidden="false" customHeight="false" outlineLevel="0" collapsed="false">
      <c r="C53" s="5" t="s">
        <v>50</v>
      </c>
      <c r="D53" s="28" t="n">
        <v>50.05</v>
      </c>
      <c r="E53" s="15" t="n">
        <f aca="false">E52*E28</f>
        <v>54.054</v>
      </c>
      <c r="F53" s="15" t="n">
        <f aca="false">F52*F28</f>
        <v>58.37832</v>
      </c>
      <c r="G53" s="15" t="n">
        <f aca="false">G52*G28</f>
        <v>63.0485856</v>
      </c>
      <c r="H53" s="15" t="n">
        <f aca="false">H52*H28</f>
        <v>68.092472448</v>
      </c>
      <c r="I53" s="15" t="n">
        <f aca="false">I52*I28</f>
        <v>73.53987024384</v>
      </c>
      <c r="J53" s="5"/>
    </row>
    <row r="54" customFormat="false" ht="13.8" hidden="false" customHeight="false" outlineLevel="0" collapsed="false">
      <c r="C54" s="5" t="s">
        <v>51</v>
      </c>
      <c r="D54" s="64" t="s">
        <v>36</v>
      </c>
      <c r="E54" s="45" t="n">
        <v>0.25</v>
      </c>
      <c r="F54" s="45" t="n">
        <v>0.25</v>
      </c>
      <c r="G54" s="45" t="n">
        <v>0.25</v>
      </c>
      <c r="H54" s="45" t="n">
        <v>0.25</v>
      </c>
      <c r="I54" s="45" t="n">
        <v>0.25</v>
      </c>
      <c r="J54" s="5"/>
    </row>
    <row r="55" customFormat="false" ht="13.8" hidden="false" customHeight="false" outlineLevel="0" collapsed="false">
      <c r="C55" s="60"/>
      <c r="D55" s="36" t="s">
        <v>52</v>
      </c>
      <c r="E55" s="37" t="s">
        <v>27</v>
      </c>
      <c r="F55" s="37"/>
      <c r="G55" s="37"/>
      <c r="H55" s="37"/>
      <c r="I55" s="37"/>
      <c r="J55" s="5"/>
    </row>
    <row r="56" customFormat="false" ht="13.8" hidden="false" customHeight="false" outlineLevel="0" collapsed="false">
      <c r="C56" s="11" t="s">
        <v>53</v>
      </c>
      <c r="D56" s="39" t="n">
        <v>2014</v>
      </c>
      <c r="E56" s="40" t="n">
        <f aca="false">D56+1</f>
        <v>2015</v>
      </c>
      <c r="F56" s="40" t="n">
        <f aca="false">+E56+1</f>
        <v>2016</v>
      </c>
      <c r="G56" s="40" t="n">
        <f aca="false">+F56+1</f>
        <v>2017</v>
      </c>
      <c r="H56" s="40" t="n">
        <f aca="false">+G56+1</f>
        <v>2018</v>
      </c>
      <c r="I56" s="40" t="n">
        <f aca="false">+H56+1</f>
        <v>2019</v>
      </c>
      <c r="J56" s="5"/>
    </row>
    <row r="57" customFormat="false" ht="13.8" hidden="false" customHeight="false" outlineLevel="0" collapsed="false">
      <c r="C57" s="5" t="s">
        <v>54</v>
      </c>
      <c r="D57" s="8"/>
      <c r="E57" s="16" t="n">
        <f aca="false">D59</f>
        <v>524.875</v>
      </c>
      <c r="F57" s="16" t="n">
        <f aca="false">E59</f>
        <v>488.829531190588</v>
      </c>
      <c r="G57" s="16" t="n">
        <f aca="false">F59</f>
        <v>443.769181834752</v>
      </c>
      <c r="H57" s="16" t="n">
        <f aca="false">G59</f>
        <v>388.491028496105</v>
      </c>
      <c r="I57" s="16" t="n">
        <f aca="false">H59</f>
        <v>321.658062207644</v>
      </c>
      <c r="J57" s="5"/>
    </row>
    <row r="58" customFormat="false" ht="13.8" hidden="false" customHeight="false" outlineLevel="0" collapsed="false">
      <c r="C58" s="65" t="s">
        <v>55</v>
      </c>
      <c r="D58" s="66"/>
      <c r="E58" s="67" t="n">
        <f aca="false">(IF(E48&lt;0,0,-MIN(E57,E48)))</f>
        <v>-36.045468809412</v>
      </c>
      <c r="F58" s="67" t="n">
        <f aca="false">(IF(F48&lt;0,0,-MIN(F57,F48)))</f>
        <v>-45.0603493558365</v>
      </c>
      <c r="G58" s="67" t="n">
        <f aca="false">(IF(G48&lt;0,0,-MIN(G57,G48)))</f>
        <v>-55.2781533386462</v>
      </c>
      <c r="H58" s="67" t="n">
        <f aca="false">(IF(H48&lt;0,0,-MIN(H57,H48)))</f>
        <v>-66.8329662884619</v>
      </c>
      <c r="I58" s="67" t="n">
        <f aca="false">(IF(I48&lt;0,0,-MIN(I57,I48)))</f>
        <v>-79.8725758566914</v>
      </c>
      <c r="J58" s="5"/>
    </row>
    <row r="59" customFormat="false" ht="13.8" hidden="false" customHeight="false" outlineLevel="0" collapsed="false">
      <c r="C59" s="60" t="s">
        <v>56</v>
      </c>
      <c r="D59" s="68" t="n">
        <f aca="false">$D$20</f>
        <v>524.875</v>
      </c>
      <c r="E59" s="68" t="n">
        <f aca="false">E57+E58</f>
        <v>488.829531190588</v>
      </c>
      <c r="F59" s="68" t="n">
        <f aca="false">F57+F58</f>
        <v>443.769181834752</v>
      </c>
      <c r="G59" s="68" t="n">
        <f aca="false">G57+G58</f>
        <v>388.491028496105</v>
      </c>
      <c r="H59" s="68" t="n">
        <f aca="false">H57+H58</f>
        <v>321.658062207644</v>
      </c>
      <c r="I59" s="68" t="n">
        <f aca="false">I57+I58</f>
        <v>241.785486350952</v>
      </c>
      <c r="J59" s="5"/>
    </row>
    <row r="60" customFormat="false" ht="13.8" hidden="false" customHeight="false" outlineLevel="0" collapsed="false">
      <c r="C60" s="42" t="s">
        <v>57</v>
      </c>
      <c r="D60" s="69" t="n">
        <f aca="false">D59/D43</f>
        <v>4.25</v>
      </c>
      <c r="E60" s="69" t="n">
        <f aca="false">E59/E43</f>
        <v>3.57096596676593</v>
      </c>
      <c r="F60" s="69" t="n">
        <f aca="false">F59/F43</f>
        <v>3.00166111905715</v>
      </c>
      <c r="G60" s="69" t="n">
        <f aca="false">G59/G43</f>
        <v>2.43311008889384</v>
      </c>
      <c r="H60" s="69" t="n">
        <f aca="false">H59/H43</f>
        <v>1.86531185889765</v>
      </c>
      <c r="I60" s="69" t="n">
        <f aca="false">I59/I43</f>
        <v>1.29826539879362</v>
      </c>
      <c r="J60" s="5"/>
    </row>
    <row r="61" customFormat="false" ht="13.8" hidden="false" customHeight="false" outlineLevel="0" collapsed="false">
      <c r="C61" s="70"/>
      <c r="D61" s="71"/>
      <c r="E61" s="71"/>
      <c r="F61" s="71"/>
      <c r="G61" s="71"/>
      <c r="H61" s="71"/>
      <c r="I61" s="71"/>
      <c r="J61" s="70"/>
    </row>
    <row r="62" customFormat="false" ht="13.8" hidden="false" customHeight="false" outlineLevel="0" collapsed="false">
      <c r="C62" s="72" t="s">
        <v>58</v>
      </c>
      <c r="D62" s="73"/>
      <c r="E62" s="74" t="n">
        <f aca="false">AVERAGE(E57,E59)</f>
        <v>506.852265595294</v>
      </c>
      <c r="F62" s="74" t="n">
        <f aca="false">AVERAGE(F57,F59)</f>
        <v>466.299356516948</v>
      </c>
      <c r="G62" s="74" t="n">
        <f aca="false">AVERAGE(G57,G59)</f>
        <v>416.130105165429</v>
      </c>
      <c r="H62" s="74" t="n">
        <f aca="false">AVERAGE(H57,H59)</f>
        <v>355.074545351874</v>
      </c>
      <c r="I62" s="75" t="n">
        <f aca="false">AVERAGE(I57,I59)</f>
        <v>281.721774279298</v>
      </c>
      <c r="J62" s="70"/>
    </row>
    <row r="63" customFormat="false" ht="13.8" hidden="false" customHeight="false" outlineLevel="0" collapsed="false">
      <c r="C63" s="76" t="s">
        <v>59</v>
      </c>
      <c r="D63" s="77"/>
      <c r="E63" s="78" t="n">
        <f aca="false">E62*($K$21+$L$21)</f>
        <v>51.0907083728672</v>
      </c>
      <c r="F63" s="78" t="n">
        <f aca="false">F62*($K$21+$L$21)</f>
        <v>47.0029751369083</v>
      </c>
      <c r="G63" s="78" t="n">
        <f aca="false">G62*($K$21+$L$21)</f>
        <v>41.9459146033512</v>
      </c>
      <c r="H63" s="78" t="n">
        <f aca="false">H62*($K$21+$L$21)</f>
        <v>35.7915141720233</v>
      </c>
      <c r="I63" s="79" t="n">
        <f aca="false">I62*($K$21+$L$21)</f>
        <v>28.3975548497493</v>
      </c>
      <c r="J63" s="70"/>
    </row>
    <row r="64" customFormat="false" ht="13.8" hidden="false" customHeight="false" outlineLevel="0" collapsed="false">
      <c r="C64" s="70"/>
      <c r="D64" s="71"/>
      <c r="E64" s="80"/>
      <c r="F64" s="80"/>
      <c r="G64" s="80"/>
      <c r="H64" s="80"/>
      <c r="I64" s="80"/>
      <c r="J64" s="70"/>
    </row>
    <row r="65" customFormat="false" ht="13.8" hidden="false" customHeight="false" outlineLevel="0" collapsed="false"/>
    <row r="66" customFormat="false" ht="13.8" hidden="false" customHeight="false" outlineLevel="0" collapsed="false">
      <c r="C66" s="11" t="s">
        <v>60</v>
      </c>
      <c r="D66" s="12"/>
      <c r="E66" s="1"/>
      <c r="F66" s="7"/>
    </row>
    <row r="67" customFormat="false" ht="13.8" hidden="false" customHeight="false" outlineLevel="0" collapsed="false">
      <c r="C67" s="5" t="s">
        <v>4</v>
      </c>
      <c r="D67" s="113" t="n">
        <v>7.62753036437247</v>
      </c>
      <c r="E67" s="1"/>
      <c r="F67" s="7"/>
    </row>
    <row r="68" customFormat="false" ht="13.8" hidden="false" customHeight="false" outlineLevel="0" collapsed="false">
      <c r="C68" s="5" t="s">
        <v>5</v>
      </c>
      <c r="D68" s="80" t="n">
        <f aca="false">$I$43</f>
        <v>186.2373337344</v>
      </c>
      <c r="E68" s="1"/>
      <c r="F68" s="7"/>
    </row>
    <row r="69" customFormat="false" ht="13.8" hidden="false" customHeight="false" outlineLevel="0" collapsed="false">
      <c r="C69" s="5" t="s">
        <v>61</v>
      </c>
      <c r="D69" s="80" t="n">
        <f aca="false">D67*D68</f>
        <v>1420.53091803891</v>
      </c>
      <c r="E69" s="1"/>
      <c r="F69" s="7"/>
    </row>
    <row r="70" customFormat="false" ht="13.8" hidden="false" customHeight="false" outlineLevel="0" collapsed="false">
      <c r="C70" s="5" t="s">
        <v>7</v>
      </c>
      <c r="D70" s="80" t="n">
        <f aca="false">I59</f>
        <v>241.785486350952</v>
      </c>
      <c r="E70" s="1"/>
      <c r="F70" s="7"/>
    </row>
    <row r="71" customFormat="false" ht="13.8" hidden="false" customHeight="false" outlineLevel="0" collapsed="false">
      <c r="C71" s="5" t="s">
        <v>22</v>
      </c>
      <c r="D71" s="80" t="n">
        <f aca="false">$E$71*$D$69</f>
        <v>42.6159275411672</v>
      </c>
      <c r="E71" s="82" t="n">
        <v>0.03</v>
      </c>
      <c r="F71" s="7"/>
    </row>
    <row r="72" customFormat="false" ht="13.8" hidden="false" customHeight="false" outlineLevel="0" collapsed="false">
      <c r="C72" s="5" t="s">
        <v>62</v>
      </c>
      <c r="D72" s="80" t="n">
        <f aca="false">D69-D70-D71</f>
        <v>1136.12950414679</v>
      </c>
      <c r="E72" s="1"/>
      <c r="F72" s="7"/>
    </row>
    <row r="73" customFormat="false" ht="13.8" hidden="false" customHeight="false" outlineLevel="0" collapsed="false">
      <c r="C73" s="5" t="s">
        <v>63</v>
      </c>
      <c r="D73" s="83" t="n">
        <v>0.9</v>
      </c>
      <c r="E73" s="1"/>
      <c r="F73" s="7"/>
    </row>
    <row r="74" customFormat="false" ht="13.8" hidden="false" customHeight="false" outlineLevel="0" collapsed="false">
      <c r="C74" s="5" t="s">
        <v>64</v>
      </c>
      <c r="D74" s="80" t="n">
        <f aca="false">D72*D73</f>
        <v>1022.51655373211</v>
      </c>
      <c r="E74" s="1"/>
      <c r="F74" s="7"/>
    </row>
    <row r="75" customFormat="false" ht="13.8" hidden="false" customHeight="false" outlineLevel="0" collapsed="false">
      <c r="C75" s="5" t="s">
        <v>65</v>
      </c>
      <c r="D75" s="80" t="n">
        <f aca="false">$D$22</f>
        <v>576.592</v>
      </c>
      <c r="E75" s="1"/>
      <c r="F75" s="7"/>
    </row>
    <row r="76" customFormat="false" ht="13.8" hidden="false" customHeight="false" outlineLevel="0" collapsed="false">
      <c r="D76" s="1"/>
      <c r="E76" s="1"/>
      <c r="F76" s="7"/>
    </row>
    <row r="77" customFormat="false" ht="13.8" hidden="false" customHeight="false" outlineLevel="0" collapsed="false">
      <c r="C77" s="84" t="s">
        <v>66</v>
      </c>
      <c r="D77" s="85" t="n">
        <f aca="false">D74/D75</f>
        <v>1.77337970997188</v>
      </c>
      <c r="E77" s="1"/>
      <c r="F77" s="7"/>
    </row>
    <row r="78" customFormat="false" ht="13.8" hidden="false" customHeight="false" outlineLevel="0" collapsed="false">
      <c r="C78" s="86" t="s">
        <v>67</v>
      </c>
      <c r="D78" s="87" t="n">
        <f aca="false">D77^(1/5)-1</f>
        <v>0.121399471382501</v>
      </c>
      <c r="E78" s="1"/>
      <c r="F78" s="7"/>
    </row>
    <row r="79" customFormat="false" ht="13.8" hidden="false" customHeight="false" outlineLevel="0" collapsed="false">
      <c r="D79" s="1"/>
      <c r="E79" s="1"/>
      <c r="F79" s="7"/>
    </row>
    <row r="80" customFormat="false" ht="13.8" hidden="false" customHeight="false" outlineLevel="0" collapsed="false">
      <c r="C80" s="88" t="s">
        <v>68</v>
      </c>
      <c r="D80" s="89"/>
      <c r="E80" s="1"/>
      <c r="F80" s="7"/>
    </row>
    <row r="81" customFormat="false" ht="13.8" hidden="false" customHeight="false" outlineLevel="0" collapsed="false">
      <c r="C81" s="90" t="s">
        <v>69</v>
      </c>
      <c r="D81" s="91"/>
      <c r="E81" s="1"/>
      <c r="F81" s="7"/>
    </row>
    <row r="82" customFormat="false" ht="13.8" hidden="false" customHeight="false" outlineLevel="0" collapsed="false"/>
    <row r="83" customFormat="false" ht="13.8" hidden="false" customHeight="false" outlineLevel="0" collapsed="false"/>
    <row r="84" customFormat="false" ht="13.8" hidden="false" customHeight="false" outlineLevel="0" collapsed="false">
      <c r="C84" s="38" t="s">
        <v>70</v>
      </c>
      <c r="D84" s="92"/>
      <c r="E84" s="93"/>
      <c r="F84" s="94"/>
      <c r="G84" s="95"/>
      <c r="H84" s="96"/>
      <c r="I84" s="96"/>
      <c r="J84" s="96"/>
      <c r="K84" s="96"/>
      <c r="L84" s="96"/>
      <c r="M84" s="94"/>
      <c r="N84" s="97"/>
      <c r="O84" s="97"/>
      <c r="P84" s="97"/>
    </row>
    <row r="85" customFormat="false" ht="52.5" hidden="false" customHeight="true" outlineLevel="0" collapsed="false">
      <c r="C85" s="98" t="s">
        <v>71</v>
      </c>
      <c r="D85" s="98"/>
      <c r="E85" s="98"/>
      <c r="F85" s="98"/>
      <c r="G85" s="98"/>
      <c r="H85" s="98"/>
      <c r="I85" s="98"/>
      <c r="J85" s="98"/>
      <c r="K85" s="98"/>
      <c r="L85" s="98"/>
      <c r="M85" s="98"/>
      <c r="N85" s="98"/>
      <c r="O85" s="98"/>
      <c r="P85" s="98"/>
    </row>
    <row r="86" customFormat="false" ht="13.5" hidden="false" customHeight="false" outlineLevel="0" collapsed="false">
      <c r="C86" s="38" t="s">
        <v>72</v>
      </c>
      <c r="D86" s="92"/>
      <c r="E86" s="93"/>
      <c r="F86" s="94"/>
      <c r="G86" s="95"/>
      <c r="H86" s="96"/>
      <c r="I86" s="96"/>
      <c r="J86" s="96"/>
      <c r="K86" s="96"/>
      <c r="L86" s="96"/>
      <c r="M86" s="94"/>
      <c r="N86" s="97"/>
      <c r="O86" s="97"/>
      <c r="P86" s="97"/>
    </row>
    <row r="87" customFormat="false" ht="13.5" hidden="false" customHeight="false" outlineLevel="0" collapsed="false">
      <c r="C87" s="99" t="s">
        <v>73</v>
      </c>
      <c r="D87" s="100"/>
      <c r="E87" s="101"/>
      <c r="F87" s="99"/>
      <c r="G87" s="102"/>
      <c r="H87" s="103"/>
      <c r="I87" s="103"/>
      <c r="J87" s="103"/>
      <c r="K87" s="103"/>
      <c r="L87" s="103"/>
      <c r="M87" s="104"/>
      <c r="N87" s="105"/>
      <c r="O87" s="105"/>
    </row>
    <row r="88" customFormat="false" ht="13.5" hidden="false" customHeight="false" outlineLevel="0" collapsed="false">
      <c r="C88" s="104" t="s">
        <v>74</v>
      </c>
      <c r="D88" s="106"/>
      <c r="E88" s="107"/>
      <c r="F88" s="104"/>
      <c r="G88" s="108"/>
      <c r="H88" s="103"/>
      <c r="I88" s="103"/>
      <c r="J88" s="103"/>
      <c r="K88" s="103"/>
      <c r="L88" s="103"/>
      <c r="M88" s="104"/>
      <c r="N88" s="105"/>
      <c r="O88" s="105"/>
    </row>
    <row r="89" customFormat="false" ht="13.5" hidden="false" customHeight="false" outlineLevel="0" collapsed="false">
      <c r="C89" s="104" t="s">
        <v>75</v>
      </c>
      <c r="D89" s="106"/>
      <c r="E89" s="107"/>
      <c r="F89" s="104"/>
      <c r="G89" s="108"/>
      <c r="H89" s="103"/>
      <c r="I89" s="103"/>
      <c r="J89" s="103"/>
      <c r="K89" s="103"/>
      <c r="L89" s="103"/>
      <c r="M89" s="104"/>
      <c r="N89" s="105"/>
      <c r="O89" s="105"/>
    </row>
    <row r="90" customFormat="false" ht="13.5" hidden="false" customHeight="true" outlineLevel="0" collapsed="false">
      <c r="C90" s="104" t="s">
        <v>76</v>
      </c>
      <c r="D90" s="104"/>
      <c r="E90" s="104"/>
      <c r="F90" s="104"/>
      <c r="G90" s="104"/>
      <c r="H90" s="104"/>
      <c r="I90" s="104"/>
      <c r="J90" s="104"/>
      <c r="K90" s="104"/>
      <c r="L90" s="104"/>
      <c r="M90" s="104"/>
      <c r="N90" s="104"/>
      <c r="O90" s="104"/>
    </row>
    <row r="91" customFormat="false" ht="13.5" hidden="false" customHeight="false" outlineLevel="0" collapsed="false">
      <c r="C91" s="104" t="s">
        <v>77</v>
      </c>
      <c r="D91" s="104"/>
      <c r="E91" s="104"/>
      <c r="F91" s="104"/>
      <c r="G91" s="104"/>
      <c r="H91" s="104"/>
      <c r="I91" s="104"/>
      <c r="J91" s="104"/>
      <c r="K91" s="104"/>
      <c r="L91" s="104"/>
      <c r="M91" s="104"/>
      <c r="N91" s="104"/>
      <c r="O91" s="104"/>
    </row>
    <row r="92" customFormat="false" ht="13.5" hidden="false" customHeight="false" outlineLevel="0" collapsed="false">
      <c r="C92" s="104" t="s">
        <v>78</v>
      </c>
      <c r="D92" s="106"/>
      <c r="E92" s="107"/>
      <c r="F92" s="104"/>
      <c r="G92" s="108"/>
      <c r="H92" s="108"/>
      <c r="I92" s="108"/>
      <c r="J92" s="108"/>
      <c r="K92" s="108"/>
      <c r="L92" s="108"/>
      <c r="M92" s="104"/>
      <c r="N92" s="105"/>
      <c r="O92" s="105"/>
    </row>
    <row r="93" customFormat="false" ht="13.5" hidden="false" customHeight="false" outlineLevel="0" collapsed="false">
      <c r="C93" s="104" t="s">
        <v>79</v>
      </c>
      <c r="D93" s="106"/>
      <c r="E93" s="107"/>
      <c r="F93" s="104"/>
      <c r="G93" s="108"/>
      <c r="H93" s="108"/>
      <c r="I93" s="108"/>
      <c r="J93" s="108"/>
      <c r="K93" s="108"/>
      <c r="L93" s="108"/>
      <c r="M93" s="104"/>
      <c r="N93" s="105"/>
      <c r="O93" s="105"/>
    </row>
    <row r="94" customFormat="false" ht="13.5" hidden="false" customHeight="false" outlineLevel="0" collapsed="false">
      <c r="C94" s="109" t="s">
        <v>80</v>
      </c>
      <c r="D94" s="109"/>
      <c r="E94" s="109"/>
      <c r="F94" s="109"/>
      <c r="G94" s="109"/>
      <c r="H94" s="109"/>
      <c r="I94" s="109"/>
      <c r="J94" s="109"/>
      <c r="K94" s="109"/>
      <c r="L94" s="109"/>
      <c r="M94" s="109"/>
      <c r="N94" s="109"/>
      <c r="O94" s="109"/>
    </row>
    <row r="95" customFormat="false" ht="13.5" hidden="false" customHeight="false" outlineLevel="0" collapsed="false">
      <c r="C95" s="104" t="s">
        <v>81</v>
      </c>
      <c r="D95" s="106"/>
      <c r="E95" s="107"/>
      <c r="F95" s="104"/>
      <c r="G95" s="108"/>
      <c r="H95" s="108"/>
      <c r="I95" s="108"/>
      <c r="J95" s="108"/>
      <c r="K95" s="108"/>
      <c r="L95" s="108"/>
      <c r="M95" s="104"/>
      <c r="N95" s="105"/>
      <c r="O95" s="105"/>
    </row>
    <row r="96" customFormat="false" ht="13.5" hidden="false" customHeight="false" outlineLevel="0" collapsed="false">
      <c r="C96" s="104" t="s">
        <v>82</v>
      </c>
      <c r="D96" s="106"/>
      <c r="E96" s="107"/>
      <c r="F96" s="104"/>
      <c r="G96" s="108"/>
      <c r="H96" s="108"/>
      <c r="I96" s="108"/>
      <c r="J96" s="108"/>
      <c r="K96" s="108"/>
      <c r="L96" s="108"/>
      <c r="M96" s="104"/>
      <c r="N96" s="105"/>
      <c r="O96" s="105"/>
    </row>
    <row r="99" customFormat="false" ht="13.5" hidden="false" customHeight="false" outlineLevel="0" collapsed="false">
      <c r="C99" s="114" t="s">
        <v>98</v>
      </c>
    </row>
    <row r="100" customFormat="false" ht="13.5" hidden="false" customHeight="false" outlineLevel="0" collapsed="false">
      <c r="C100" s="114" t="s">
        <v>99</v>
      </c>
      <c r="D100" s="1"/>
      <c r="E100" s="1"/>
      <c r="G100" s="1"/>
      <c r="H100" s="1"/>
      <c r="I100" s="1"/>
      <c r="J100" s="1"/>
      <c r="K100" s="1"/>
      <c r="L100" s="1"/>
    </row>
    <row r="101" customFormat="false" ht="13.5" hidden="false" customHeight="false" outlineLevel="0" collapsed="false">
      <c r="C101" s="1" t="s">
        <v>100</v>
      </c>
      <c r="D101" s="1"/>
      <c r="E101" s="1"/>
      <c r="G101" s="1"/>
      <c r="H101" s="1"/>
      <c r="I101" s="1"/>
      <c r="J101" s="1"/>
      <c r="K101" s="1"/>
      <c r="L101" s="1"/>
    </row>
    <row r="102" customFormat="false" ht="13.5" hidden="false" customHeight="false" outlineLevel="0" collapsed="false">
      <c r="C102" s="1" t="s">
        <v>101</v>
      </c>
      <c r="D102" s="1"/>
      <c r="E102" s="1"/>
      <c r="G102" s="1"/>
      <c r="H102" s="1"/>
      <c r="I102" s="1"/>
      <c r="J102" s="1"/>
      <c r="K102" s="1"/>
      <c r="L102" s="1"/>
    </row>
    <row r="103" customFormat="false" ht="13.5" hidden="false" customHeight="false" outlineLevel="0" collapsed="false">
      <c r="C103" s="114" t="s">
        <v>102</v>
      </c>
      <c r="D103" s="1"/>
      <c r="E103" s="1"/>
      <c r="G103" s="1"/>
      <c r="H103" s="1"/>
      <c r="I103" s="1"/>
      <c r="J103" s="1"/>
      <c r="K103" s="1"/>
      <c r="L103" s="1"/>
    </row>
    <row r="104" customFormat="false" ht="13.5" hidden="false" customHeight="false" outlineLevel="0" collapsed="false">
      <c r="C104" s="1" t="s">
        <v>103</v>
      </c>
      <c r="D104" s="1"/>
      <c r="E104" s="1"/>
      <c r="G104" s="1"/>
      <c r="H104" s="1"/>
      <c r="I104" s="1"/>
      <c r="J104" s="1"/>
      <c r="K104" s="1"/>
      <c r="L104" s="1"/>
    </row>
    <row r="105" customFormat="false" ht="13.5" hidden="false" customHeight="false" outlineLevel="0" collapsed="false">
      <c r="C105" s="114" t="s">
        <v>104</v>
      </c>
      <c r="D105" s="1"/>
      <c r="E105" s="1"/>
      <c r="G105" s="1"/>
      <c r="H105" s="1"/>
      <c r="I105" s="1"/>
      <c r="J105" s="1"/>
      <c r="K105" s="1"/>
      <c r="L105" s="1"/>
    </row>
    <row r="106" customFormat="false" ht="13.5" hidden="false" customHeight="false" outlineLevel="0" collapsed="false">
      <c r="C106" s="1" t="s">
        <v>105</v>
      </c>
      <c r="D106" s="1"/>
      <c r="E106" s="1"/>
      <c r="G106" s="1"/>
      <c r="H106" s="1"/>
      <c r="I106" s="1"/>
      <c r="J106" s="1"/>
      <c r="K106" s="1"/>
      <c r="L106" s="1"/>
    </row>
    <row r="107" customFormat="false" ht="13.5" hidden="false" customHeight="false" outlineLevel="0" collapsed="false">
      <c r="C107" s="114" t="s">
        <v>106</v>
      </c>
    </row>
    <row r="108" customFormat="false" ht="13.5" hidden="false" customHeight="false" outlineLevel="0" collapsed="false">
      <c r="C108" s="1" t="s">
        <v>107</v>
      </c>
    </row>
  </sheetData>
  <mergeCells count="5">
    <mergeCell ref="E26:I26"/>
    <mergeCell ref="E41:I41"/>
    <mergeCell ref="E55:I55"/>
    <mergeCell ref="C85:P85"/>
    <mergeCell ref="C94:O94"/>
  </mergeCells>
  <printOptions headings="true" gridLines="true" gridLinesSet="true" horizontalCentered="false" verticalCentered="false"/>
  <pageMargins left="0.7" right="0.7" top="0.75" bottom="0.75" header="0.511811023622047" footer="0.511811023622047"/>
  <pageSetup paperSize="1" scale="62"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453125" defaultRowHeight="12.8" zeroHeight="false" outlineLevelRow="0" outlineLevelCol="0"/>
  <cols>
    <col collapsed="false" customWidth="true" hidden="false" outlineLevel="0" max="2" min="2" style="115" width="36.44"/>
  </cols>
  <sheetData>
    <row r="1" customFormat="false" ht="13.8" hidden="false" customHeight="false" outlineLevel="0" collapsed="false"/>
    <row r="2" customFormat="false" ht="13.8" hidden="false" customHeight="false" outlineLevel="0" collapsed="false">
      <c r="B2" s="116" t="s">
        <v>108</v>
      </c>
    </row>
    <row r="3" customFormat="false" ht="13.8" hidden="false" customHeight="false" outlineLevel="0" collapsed="false"/>
    <row r="4" customFormat="false" ht="13.8" hidden="false" customHeight="false" outlineLevel="0" collapsed="false">
      <c r="B4" s="116" t="s">
        <v>109</v>
      </c>
      <c r="C4" s="116" t="s">
        <v>110</v>
      </c>
      <c r="D4" s="116" t="s">
        <v>111</v>
      </c>
      <c r="E4" s="116" t="s">
        <v>112</v>
      </c>
    </row>
    <row r="5" customFormat="false" ht="13.8" hidden="false" customHeight="false" outlineLevel="0" collapsed="false">
      <c r="B5" s="115" t="s">
        <v>113</v>
      </c>
      <c r="C5" s="117" t="n">
        <f aca="false">'Paper LBO - Template'!E29</f>
        <v>0.09</v>
      </c>
      <c r="D5" s="117" t="n">
        <f aca="false">'Bull Case'!E29</f>
        <v>0.119</v>
      </c>
      <c r="E5" s="117" t="n">
        <f aca="false">'Bear Case'!E29</f>
        <v>0.08</v>
      </c>
    </row>
    <row r="6" customFormat="false" ht="13.8" hidden="false" customHeight="false" outlineLevel="0" collapsed="false">
      <c r="B6" s="115" t="s">
        <v>114</v>
      </c>
      <c r="C6" s="117" t="n">
        <f aca="false">'Paper LBO - Template'!E31</f>
        <v>0.2</v>
      </c>
      <c r="D6" s="117" t="n">
        <f aca="false">'Bull Case'!E31</f>
        <v>0.205</v>
      </c>
      <c r="E6" s="117" t="n">
        <f aca="false">'Bear Case'!E31</f>
        <v>0.195</v>
      </c>
    </row>
    <row r="7" customFormat="false" ht="13.8" hidden="false" customHeight="false" outlineLevel="0" collapsed="false">
      <c r="B7" s="115" t="s">
        <v>115</v>
      </c>
      <c r="C7" s="117" t="n">
        <f aca="false">'Paper LBO - Template'!F31</f>
        <v>0.21</v>
      </c>
      <c r="D7" s="117" t="n">
        <f aca="false">'Bull Case'!F31</f>
        <v>0.215</v>
      </c>
      <c r="E7" s="117" t="n">
        <f aca="false">'Bear Case'!F31</f>
        <v>0.195</v>
      </c>
    </row>
    <row r="8" customFormat="false" ht="13.8" hidden="false" customHeight="false" outlineLevel="0" collapsed="false">
      <c r="B8" s="115" t="s">
        <v>116</v>
      </c>
      <c r="C8" s="118" t="n">
        <f aca="false">'Paper LBO - Template'!D67</f>
        <v>8.9</v>
      </c>
      <c r="D8" s="118" t="n">
        <f aca="false">'Bull Case'!D67</f>
        <v>10.1</v>
      </c>
      <c r="E8" s="118" t="n">
        <f aca="false">'Bear Case'!D67</f>
        <v>7.62753036437247</v>
      </c>
    </row>
    <row r="9" customFormat="false" ht="13.8" hidden="false" customHeight="false" outlineLevel="0" collapsed="false">
      <c r="B9" s="115" t="s">
        <v>117</v>
      </c>
      <c r="C9" s="119" t="n">
        <f aca="false">'Paper LBO - Template'!I28</f>
        <v>1000.105570685</v>
      </c>
      <c r="D9" s="119" t="n">
        <f aca="false">'Bull Case'!I28</f>
        <v>1140.41728004204</v>
      </c>
      <c r="E9" s="119" t="n">
        <f aca="false">'Bear Case'!I28</f>
        <v>955.06324992</v>
      </c>
    </row>
    <row r="10" customFormat="false" ht="13.8" hidden="false" customHeight="false" outlineLevel="0" collapsed="false">
      <c r="B10" s="115" t="s">
        <v>118</v>
      </c>
      <c r="C10" s="119" t="n">
        <f aca="false">'Paper LBO - Template'!I30</f>
        <v>210.02216984385</v>
      </c>
      <c r="D10" s="119" t="n">
        <f aca="false">'Bull Case'!I30</f>
        <v>245.189715209038</v>
      </c>
      <c r="E10" s="119" t="n">
        <f aca="false">'Bear Case'!I30</f>
        <v>186.2373337344</v>
      </c>
    </row>
    <row r="11" customFormat="false" ht="13.8" hidden="false" customHeight="false" outlineLevel="0" collapsed="false">
      <c r="B11" s="115" t="s">
        <v>119</v>
      </c>
      <c r="C11" s="119" t="n">
        <f aca="false">'Paper LBO - Template'!I59</f>
        <v>180.576199299103</v>
      </c>
      <c r="D11" s="119" t="n">
        <f aca="false">'Bull Case'!I59</f>
        <v>120.793225580797</v>
      </c>
      <c r="E11" s="119" t="n">
        <f aca="false">'Bear Case'!I59</f>
        <v>241.785486350952</v>
      </c>
    </row>
    <row r="12" customFormat="false" ht="13.8" hidden="false" customHeight="false" outlineLevel="0" collapsed="false">
      <c r="B12" s="115" t="s">
        <v>120</v>
      </c>
      <c r="C12" s="120" t="n">
        <f aca="false">'Paper LBO - Template'!I60</f>
        <v>0.859795894087561</v>
      </c>
      <c r="D12" s="120" t="n">
        <f aca="false">'Bull Case'!I60</f>
        <v>0.49265208974126</v>
      </c>
      <c r="E12" s="120" t="n">
        <f aca="false">'Bear Case'!I60</f>
        <v>1.29826539879362</v>
      </c>
    </row>
    <row r="13" customFormat="false" ht="13.8" hidden="false" customHeight="false" outlineLevel="0" collapsed="false">
      <c r="B13" s="115" t="s">
        <v>121</v>
      </c>
      <c r="C13" s="119" t="n">
        <f aca="false">'Paper LBO - Template'!D69</f>
        <v>1869.19731161027</v>
      </c>
      <c r="D13" s="119" t="n">
        <f aca="false">'Bull Case'!D69</f>
        <v>2476.41612361129</v>
      </c>
      <c r="E13" s="119" t="n">
        <f aca="false">'Bear Case'!D69</f>
        <v>1420.53091803891</v>
      </c>
    </row>
    <row r="14" customFormat="false" ht="13.8" hidden="false" customHeight="false" outlineLevel="0" collapsed="false">
      <c r="B14" s="115" t="s">
        <v>122</v>
      </c>
      <c r="C14" s="119" t="n">
        <f aca="false">'Paper LBO - Template'!D72</f>
        <v>1632.54519296286</v>
      </c>
      <c r="D14" s="119" t="n">
        <f aca="false">'Bull Case'!D72</f>
        <v>2281.33041432215</v>
      </c>
      <c r="E14" s="119" t="n">
        <f aca="false">'Bear Case'!D72</f>
        <v>1136.12950414679</v>
      </c>
    </row>
    <row r="15" customFormat="false" ht="13.8" hidden="false" customHeight="false" outlineLevel="0" collapsed="false">
      <c r="B15" s="115" t="s">
        <v>123</v>
      </c>
      <c r="C15" s="119" t="n">
        <f aca="false">'Paper LBO - Template'!D74</f>
        <v>1469.29067366657</v>
      </c>
      <c r="D15" s="119" t="n">
        <f aca="false">'Bull Case'!D74</f>
        <v>2053.19737288994</v>
      </c>
      <c r="E15" s="119" t="n">
        <f aca="false">'Bear Case'!D74</f>
        <v>1022.51655373211</v>
      </c>
    </row>
    <row r="16" customFormat="false" ht="13.8" hidden="false" customHeight="false" outlineLevel="0" collapsed="false">
      <c r="B16" s="115" t="s">
        <v>124</v>
      </c>
      <c r="C16" s="119" t="n">
        <f aca="false">'Paper LBO - Template'!D75</f>
        <v>576.592</v>
      </c>
      <c r="D16" s="119" t="n">
        <f aca="false">'Bull Case'!D75</f>
        <v>576.592</v>
      </c>
      <c r="E16" s="119" t="n">
        <f aca="false">'Bear Case'!D75</f>
        <v>576.592</v>
      </c>
    </row>
    <row r="17" customFormat="false" ht="13.8" hidden="false" customHeight="false" outlineLevel="0" collapsed="false">
      <c r="B17" s="115" t="s">
        <v>66</v>
      </c>
      <c r="C17" s="120" t="n">
        <f aca="false">'Paper LBO - Template'!D77</f>
        <v>2.5482328469118</v>
      </c>
      <c r="D17" s="120" t="n">
        <f aca="false">'Bull Case'!D77</f>
        <v>3.56091893902437</v>
      </c>
      <c r="E17" s="120" t="n">
        <f aca="false">'Bear Case'!D77</f>
        <v>1.77337970997188</v>
      </c>
    </row>
    <row r="18" customFormat="false" ht="13.8" hidden="false" customHeight="false" outlineLevel="0" collapsed="false">
      <c r="B18" s="115" t="s">
        <v>67</v>
      </c>
      <c r="C18" s="117" t="n">
        <f aca="false">'Paper LBO - Template'!D78</f>
        <v>0.205723767479108</v>
      </c>
      <c r="D18" s="117" t="n">
        <f aca="false">'Bull Case'!D78</f>
        <v>0.289176610436575</v>
      </c>
      <c r="E18" s="117" t="n">
        <f aca="false">'Bear Case'!D78</f>
        <v>0.121399471382501</v>
      </c>
    </row>
    <row r="19" customFormat="false" ht="13.8" hidden="false" customHeight="false" outlineLevel="0" collapsed="false"/>
    <row r="20" customFormat="false" ht="13.8" hidden="false" customHeight="false" outlineLevel="0" collapsed="false">
      <c r="B20" s="116" t="s">
        <v>125</v>
      </c>
    </row>
    <row r="21" customFormat="false" ht="13.8" hidden="false" customHeight="false" outlineLevel="0" collapsed="false">
      <c r="B21" s="115" t="s">
        <v>126</v>
      </c>
      <c r="D21" s="115" t="s">
        <v>127</v>
      </c>
      <c r="E21" s="115" t="s">
        <v>128</v>
      </c>
    </row>
    <row r="22" customFormat="false" ht="13.8" hidden="false" customHeight="false" outlineLevel="0" collapsed="false">
      <c r="B22" s="115" t="s">
        <v>129</v>
      </c>
      <c r="D22" s="115" t="str">
        <f aca="false">IF(AND(D18&gt;=0.25,D18&lt;=0.3),"In 25-30% target band",IF(D18&gt;0.3,"Above band","Below band"))</f>
        <v>In 25-30% target band</v>
      </c>
      <c r="E22" s="115" t="str">
        <f aca="false">IF(AND(E18&gt;=0.12,E18&lt;=0.15),"In 12-15% band",IF(E18&gt;0.15,"Above band","Below floor"))</f>
        <v>In 12-15% band</v>
      </c>
    </row>
    <row r="23" customFormat="false" ht="13.8" hidden="false" customHeight="false" outlineLevel="0" collapsed="false"/>
    <row r="24" customFormat="false" ht="13.8" hidden="false" customHeight="false" outlineLevel="0" collapsed="false">
      <c r="B24" s="115" t="s">
        <v>130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453125" defaultRowHeight="12.8" zeroHeight="false" outlineLevelRow="0" outlineLevelCol="0"/>
  <cols>
    <col collapsed="false" customWidth="true" hidden="false" outlineLevel="0" max="2" min="2" style="0" width="58.71"/>
    <col collapsed="false" customWidth="true" hidden="false" outlineLevel="0" max="5" min="3" style="0" width="12.96"/>
  </cols>
  <sheetData>
    <row r="2" customFormat="false" ht="13.8" hidden="false" customHeight="false" outlineLevel="0" collapsed="false">
      <c r="B2" s="121" t="s">
        <v>131</v>
      </c>
    </row>
    <row r="3" customFormat="false" ht="13.8" hidden="false" customHeight="false" outlineLevel="0" collapsed="false">
      <c r="C3" s="121" t="s">
        <v>110</v>
      </c>
      <c r="D3" s="121" t="s">
        <v>111</v>
      </c>
      <c r="E3" s="121" t="s">
        <v>112</v>
      </c>
    </row>
    <row r="5" customFormat="false" ht="13.8" hidden="false" customHeight="false" outlineLevel="0" collapsed="false">
      <c r="B5" s="121" t="s">
        <v>132</v>
      </c>
    </row>
    <row r="6" customFormat="false" ht="13.8" hidden="false" customHeight="false" outlineLevel="0" collapsed="false">
      <c r="B6" s="0" t="s">
        <v>133</v>
      </c>
      <c r="C6" s="122" t="n">
        <f aca="false">'Paper LBO - Template'!D6</f>
        <v>8.9</v>
      </c>
      <c r="D6" s="122" t="n">
        <f aca="false">'Bull Case'!D6</f>
        <v>8.9</v>
      </c>
      <c r="E6" s="122" t="n">
        <f aca="false">'Bear Case'!D6</f>
        <v>8.9</v>
      </c>
    </row>
    <row r="7" customFormat="false" ht="13.8" hidden="false" customHeight="false" outlineLevel="0" collapsed="false">
      <c r="B7" s="0" t="s">
        <v>134</v>
      </c>
      <c r="C7" s="123" t="n">
        <f aca="false">'Paper LBO - Template'!D7</f>
        <v>123.5</v>
      </c>
      <c r="D7" s="123" t="n">
        <f aca="false">'Bull Case'!D7</f>
        <v>123.5</v>
      </c>
      <c r="E7" s="123" t="n">
        <f aca="false">'Bear Case'!D7</f>
        <v>123.5</v>
      </c>
    </row>
    <row r="8" customFormat="false" ht="13.8" hidden="false" customHeight="false" outlineLevel="0" collapsed="false">
      <c r="B8" s="0" t="s">
        <v>135</v>
      </c>
      <c r="C8" s="123" t="n">
        <f aca="false">'Paper LBO - Template'!D8</f>
        <v>1099.15</v>
      </c>
      <c r="D8" s="123" t="n">
        <f aca="false">'Bull Case'!D8</f>
        <v>1099.15</v>
      </c>
      <c r="E8" s="123" t="n">
        <f aca="false">'Bear Case'!D8</f>
        <v>1099.15</v>
      </c>
    </row>
    <row r="9" customFormat="false" ht="13.8" hidden="false" customHeight="false" outlineLevel="0" collapsed="false">
      <c r="B9" s="0" t="s">
        <v>136</v>
      </c>
      <c r="C9" s="124" t="n">
        <f aca="false">'Paper LBO - Template'!D20+'Paper LBO - Template'!D19</f>
        <v>524.875</v>
      </c>
      <c r="D9" s="124" t="n">
        <f aca="false">'Bull Case'!D20+'Bull Case'!D19</f>
        <v>524.875</v>
      </c>
      <c r="E9" s="124" t="n">
        <f aca="false">'Bear Case'!D20+'Bear Case'!D19</f>
        <v>524.875</v>
      </c>
    </row>
    <row r="10" customFormat="false" ht="13.8" hidden="false" customHeight="false" outlineLevel="0" collapsed="false">
      <c r="B10" s="0" t="s">
        <v>137</v>
      </c>
      <c r="C10" s="123" t="n">
        <f aca="false">'Paper LBO - Template'!I21</f>
        <v>32.9745</v>
      </c>
      <c r="D10" s="123" t="n">
        <f aca="false">'Bull Case'!I21</f>
        <v>32.9745</v>
      </c>
      <c r="E10" s="123" t="n">
        <f aca="false">'Bear Case'!I21</f>
        <v>32.9745</v>
      </c>
    </row>
    <row r="11" customFormat="false" ht="13.8" hidden="false" customHeight="false" outlineLevel="0" collapsed="false">
      <c r="B11" s="121" t="s">
        <v>138</v>
      </c>
      <c r="C11" s="125" t="n">
        <f aca="false">'Paper LBO - Template'!D21+'Paper LBO - Template'!D22</f>
        <v>607.2495</v>
      </c>
      <c r="D11" s="125" t="n">
        <f aca="false">'Bull Case'!D21+'Bull Case'!D22</f>
        <v>607.2495</v>
      </c>
      <c r="E11" s="125" t="n">
        <f aca="false">'Bear Case'!D21+'Bear Case'!D22</f>
        <v>607.2495</v>
      </c>
    </row>
    <row r="12" customFormat="false" ht="13.8" hidden="false" customHeight="false" outlineLevel="0" collapsed="false">
      <c r="B12" s="0" t="s">
        <v>139</v>
      </c>
      <c r="C12" s="123" t="n">
        <f aca="false">'Paper LBO - Template'!D22</f>
        <v>576.592</v>
      </c>
      <c r="D12" s="123" t="n">
        <f aca="false">'Bull Case'!D22</f>
        <v>576.592</v>
      </c>
      <c r="E12" s="123" t="n">
        <f aca="false">'Bear Case'!D22</f>
        <v>576.592</v>
      </c>
    </row>
    <row r="13" customFormat="false" ht="13.8" hidden="false" customHeight="false" outlineLevel="0" collapsed="false">
      <c r="B13" s="0" t="s">
        <v>140</v>
      </c>
      <c r="C13" s="126" t="n">
        <f aca="false">C12/C11</f>
        <v>0.949514161806638</v>
      </c>
      <c r="D13" s="126" t="n">
        <f aca="false">D12/D11</f>
        <v>0.949514161806638</v>
      </c>
      <c r="E13" s="126" t="n">
        <f aca="false">E12/E11</f>
        <v>0.949514161806638</v>
      </c>
    </row>
    <row r="14" customFormat="false" ht="13.8" hidden="false" customHeight="false" outlineLevel="0" collapsed="false">
      <c r="B14" s="121" t="s">
        <v>141</v>
      </c>
    </row>
    <row r="15" customFormat="false" ht="13.8" hidden="false" customHeight="false" outlineLevel="0" collapsed="false">
      <c r="B15" s="0" t="s">
        <v>116</v>
      </c>
      <c r="C15" s="122" t="n">
        <f aca="false">'Paper LBO - Template'!D67</f>
        <v>8.9</v>
      </c>
      <c r="D15" s="122" t="n">
        <f aca="false">'Bull Case'!D67</f>
        <v>10.1</v>
      </c>
      <c r="E15" s="122" t="n">
        <f aca="false">'Bear Case'!D67</f>
        <v>7.62753036437247</v>
      </c>
    </row>
    <row r="16" customFormat="false" ht="13.8" hidden="false" customHeight="false" outlineLevel="0" collapsed="false">
      <c r="B16" s="0" t="s">
        <v>142</v>
      </c>
      <c r="C16" s="123" t="n">
        <f aca="false">'Paper LBO - Template'!D68</f>
        <v>210.02216984385</v>
      </c>
      <c r="D16" s="123" t="n">
        <f aca="false">'Bull Case'!D68</f>
        <v>245.189715209038</v>
      </c>
      <c r="E16" s="123" t="n">
        <f aca="false">'Bear Case'!D68</f>
        <v>186.2373337344</v>
      </c>
    </row>
    <row r="17" customFormat="false" ht="13.8" hidden="false" customHeight="false" outlineLevel="0" collapsed="false">
      <c r="B17" s="0" t="s">
        <v>121</v>
      </c>
      <c r="C17" s="123" t="n">
        <f aca="false">'Paper LBO - Template'!D69</f>
        <v>1869.19731161027</v>
      </c>
      <c r="D17" s="123" t="n">
        <f aca="false">'Bull Case'!D69</f>
        <v>2476.41612361129</v>
      </c>
      <c r="E17" s="123" t="n">
        <f aca="false">'Bear Case'!D69</f>
        <v>1420.53091803891</v>
      </c>
    </row>
    <row r="18" customFormat="false" ht="13.8" hidden="false" customHeight="false" outlineLevel="0" collapsed="false">
      <c r="B18" s="0" t="s">
        <v>143</v>
      </c>
      <c r="C18" s="123" t="n">
        <f aca="false">'Paper LBO - Template'!D70</f>
        <v>180.576199299103</v>
      </c>
      <c r="D18" s="123" t="n">
        <f aca="false">'Bull Case'!D70</f>
        <v>120.793225580797</v>
      </c>
      <c r="E18" s="123" t="n">
        <f aca="false">'Bear Case'!D70</f>
        <v>241.785486350952</v>
      </c>
    </row>
    <row r="19" customFormat="false" ht="13.8" hidden="false" customHeight="false" outlineLevel="0" collapsed="false">
      <c r="B19" s="0" t="s">
        <v>144</v>
      </c>
      <c r="C19" s="123" t="n">
        <f aca="false">'Paper LBO - Template'!D71</f>
        <v>56.075919348308</v>
      </c>
      <c r="D19" s="123" t="n">
        <f aca="false">'Bull Case'!D71</f>
        <v>74.2924837083387</v>
      </c>
      <c r="E19" s="123" t="n">
        <f aca="false">'Bear Case'!D71</f>
        <v>42.6159275411672</v>
      </c>
    </row>
    <row r="20" customFormat="false" ht="13.8" hidden="false" customHeight="false" outlineLevel="0" collapsed="false">
      <c r="B20" s="121" t="s">
        <v>145</v>
      </c>
      <c r="C20" s="127" t="n">
        <f aca="false">'Paper LBO - Template'!D72</f>
        <v>1632.54519296286</v>
      </c>
      <c r="D20" s="127" t="n">
        <f aca="false">'Bull Case'!D72</f>
        <v>2281.33041432215</v>
      </c>
      <c r="E20" s="127" t="n">
        <f aca="false">'Bear Case'!D72</f>
        <v>1136.12950414679</v>
      </c>
    </row>
    <row r="21" customFormat="false" ht="13.8" hidden="false" customHeight="false" outlineLevel="0" collapsed="false">
      <c r="B21" s="0" t="s">
        <v>146</v>
      </c>
      <c r="C21" s="126" t="n">
        <f aca="false">'Paper LBO - Template'!D73</f>
        <v>0.9</v>
      </c>
      <c r="D21" s="126" t="n">
        <f aca="false">'Bull Case'!D73</f>
        <v>0.9</v>
      </c>
      <c r="E21" s="126" t="n">
        <f aca="false">'Bear Case'!D73</f>
        <v>0.9</v>
      </c>
    </row>
    <row r="22" customFormat="false" ht="13.8" hidden="false" customHeight="false" outlineLevel="0" collapsed="false">
      <c r="B22" s="121" t="s">
        <v>147</v>
      </c>
    </row>
    <row r="23" customFormat="false" ht="13.8" hidden="false" customHeight="false" outlineLevel="0" collapsed="false">
      <c r="B23" s="0" t="s">
        <v>148</v>
      </c>
      <c r="C23" s="124" t="n">
        <f aca="false">C11</f>
        <v>607.2495</v>
      </c>
      <c r="D23" s="124" t="n">
        <f aca="false">D11</f>
        <v>607.2495</v>
      </c>
      <c r="E23" s="124" t="n">
        <f aca="false">E11</f>
        <v>607.2495</v>
      </c>
    </row>
    <row r="24" customFormat="false" ht="13.8" hidden="false" customHeight="false" outlineLevel="0" collapsed="false">
      <c r="B24" s="0" t="s">
        <v>149</v>
      </c>
      <c r="C24" s="124" t="n">
        <f aca="false">(C16-C7)*C6</f>
        <v>770.047311610266</v>
      </c>
      <c r="D24" s="124" t="n">
        <f aca="false">(D16-D7)*D6</f>
        <v>1083.03846536044</v>
      </c>
      <c r="E24" s="124" t="n">
        <f aca="false">(E16-E7)*E6</f>
        <v>558.362270236161</v>
      </c>
    </row>
    <row r="25" customFormat="false" ht="13.8" hidden="false" customHeight="false" outlineLevel="0" collapsed="false">
      <c r="B25" s="0" t="s">
        <v>150</v>
      </c>
      <c r="C25" s="124" t="n">
        <f aca="false">(C15-C6)*C16</f>
        <v>0</v>
      </c>
      <c r="D25" s="124" t="n">
        <f aca="false">(D15-D6)*D16</f>
        <v>294.227658250846</v>
      </c>
      <c r="E25" s="124" t="n">
        <f aca="false">(E15-E6)*E16</f>
        <v>-236.981352197255</v>
      </c>
    </row>
    <row r="26" customFormat="false" ht="13.8" hidden="false" customHeight="false" outlineLevel="0" collapsed="false">
      <c r="B26" s="0" t="s">
        <v>151</v>
      </c>
      <c r="C26" s="124" t="n">
        <f aca="false">C9-C18</f>
        <v>344.298800700897</v>
      </c>
      <c r="D26" s="124" t="n">
        <f aca="false">D9-D18</f>
        <v>404.081774419203</v>
      </c>
      <c r="E26" s="124" t="n">
        <f aca="false">E9-E18</f>
        <v>283.089513649048</v>
      </c>
    </row>
    <row r="27" customFormat="false" ht="13.8" hidden="false" customHeight="false" outlineLevel="0" collapsed="false">
      <c r="B27" s="0" t="s">
        <v>152</v>
      </c>
      <c r="C27" s="124" t="n">
        <f aca="false">-C10</f>
        <v>-32.9745</v>
      </c>
      <c r="D27" s="124" t="n">
        <f aca="false">-D10</f>
        <v>-32.9745</v>
      </c>
      <c r="E27" s="124" t="n">
        <f aca="false">-E10</f>
        <v>-32.9745</v>
      </c>
    </row>
    <row r="28" customFormat="false" ht="13.8" hidden="false" customHeight="false" outlineLevel="0" collapsed="false">
      <c r="B28" s="0" t="s">
        <v>153</v>
      </c>
      <c r="C28" s="124" t="n">
        <f aca="false">-C19</f>
        <v>-56.075919348308</v>
      </c>
      <c r="D28" s="124" t="n">
        <f aca="false">-D19</f>
        <v>-74.2924837083387</v>
      </c>
      <c r="E28" s="124" t="n">
        <f aca="false">-E19</f>
        <v>-42.6159275411672</v>
      </c>
    </row>
    <row r="29" customFormat="false" ht="13.8" hidden="false" customHeight="false" outlineLevel="0" collapsed="false">
      <c r="B29" s="128" t="s">
        <v>154</v>
      </c>
      <c r="C29" s="125" t="n">
        <f aca="false">SUM(C23:C28)</f>
        <v>1632.54519296286</v>
      </c>
      <c r="D29" s="125" t="n">
        <f aca="false">SUM(D23:D28)</f>
        <v>2281.33041432215</v>
      </c>
      <c r="E29" s="125" t="n">
        <f aca="false">SUM(E23:E28)</f>
        <v>1136.12950414679</v>
      </c>
    </row>
    <row r="30" customFormat="false" ht="13.8" hidden="false" customHeight="false" outlineLevel="0" collapsed="false">
      <c r="B30" s="0" t="s">
        <v>155</v>
      </c>
      <c r="C30" s="129" t="n">
        <f aca="false">C29-C20</f>
        <v>0</v>
      </c>
      <c r="D30" s="129" t="n">
        <f aca="false">D29-D20</f>
        <v>0</v>
      </c>
      <c r="E30" s="129" t="n">
        <f aca="false">E29-E20</f>
        <v>0</v>
      </c>
    </row>
    <row r="31" customFormat="false" ht="13.8" hidden="false" customHeight="false" outlineLevel="0" collapsed="false">
      <c r="B31" s="121" t="s">
        <v>156</v>
      </c>
      <c r="C31" s="125" t="n">
        <f aca="false">C20-C11</f>
        <v>1025.29569296286</v>
      </c>
      <c r="D31" s="125" t="n">
        <f aca="false">D20-D11</f>
        <v>1674.08091432215</v>
      </c>
      <c r="E31" s="125" t="n">
        <f aca="false">E20-E11</f>
        <v>528.880004146786</v>
      </c>
    </row>
    <row r="32" customFormat="false" ht="13.8" hidden="false" customHeight="false" outlineLevel="0" collapsed="false">
      <c r="B32" s="121" t="s">
        <v>157</v>
      </c>
    </row>
    <row r="33" customFormat="false" ht="13.8" hidden="false" customHeight="false" outlineLevel="0" collapsed="false">
      <c r="B33" s="0" t="s">
        <v>158</v>
      </c>
      <c r="C33" s="126" t="n">
        <f aca="false">C24/C31</f>
        <v>0.751049006540754</v>
      </c>
      <c r="D33" s="126" t="n">
        <f aca="false">D24/D31</f>
        <v>0.646945112446355</v>
      </c>
      <c r="E33" s="126" t="n">
        <f aca="false">E24/E31</f>
        <v>1.05574471687001</v>
      </c>
    </row>
    <row r="34" customFormat="false" ht="13.8" hidden="false" customHeight="false" outlineLevel="0" collapsed="false">
      <c r="B34" s="0" t="s">
        <v>159</v>
      </c>
      <c r="C34" s="126" t="n">
        <f aca="false">C25/C31</f>
        <v>0</v>
      </c>
      <c r="D34" s="126" t="n">
        <f aca="false">D25/D31</f>
        <v>0.175754741442698</v>
      </c>
      <c r="E34" s="126" t="n">
        <f aca="false">E25/E31</f>
        <v>-0.448081512515422</v>
      </c>
    </row>
    <row r="35" customFormat="false" ht="13.8" hidden="false" customHeight="false" outlineLevel="0" collapsed="false">
      <c r="B35" s="0" t="s">
        <v>160</v>
      </c>
      <c r="C35" s="126" t="n">
        <f aca="false">C26/C31</f>
        <v>0.335804395808937</v>
      </c>
      <c r="D35" s="126" t="n">
        <f aca="false">D26/D31</f>
        <v>0.241375294922837</v>
      </c>
      <c r="E35" s="126" t="n">
        <f aca="false">E26/E31</f>
        <v>0.535262273917391</v>
      </c>
    </row>
    <row r="36" customFormat="false" ht="13.8" hidden="false" customHeight="false" outlineLevel="0" collapsed="false">
      <c r="B36" s="0" t="s">
        <v>161</v>
      </c>
      <c r="C36" s="126" t="n">
        <f aca="false">(C27+C28)/C31</f>
        <v>-0.0868534023496909</v>
      </c>
      <c r="D36" s="126" t="n">
        <f aca="false">(D27+D28)/D31</f>
        <v>-0.0640751488118911</v>
      </c>
      <c r="E36" s="126" t="n">
        <f aca="false">(E27+E28)/E31</f>
        <v>-0.142925478271982</v>
      </c>
    </row>
    <row r="37" customFormat="false" ht="13.8" hidden="false" customHeight="false" outlineLevel="0" collapsed="false">
      <c r="B37" s="121" t="s">
        <v>162</v>
      </c>
    </row>
    <row r="38" customFormat="false" ht="13.8" hidden="false" customHeight="false" outlineLevel="0" collapsed="false">
      <c r="B38" s="0" t="s">
        <v>163</v>
      </c>
      <c r="C38" s="124" t="n">
        <f aca="false">C24*C13</f>
        <v>731.170827635076</v>
      </c>
      <c r="D38" s="124" t="n">
        <f aca="false">D24*D13</f>
        <v>1028.36036064107</v>
      </c>
      <c r="E38" s="124" t="n">
        <f aca="false">E24*E13</f>
        <v>530.17288300774</v>
      </c>
    </row>
    <row r="39" customFormat="false" ht="13.8" hidden="false" customHeight="false" outlineLevel="0" collapsed="false">
      <c r="B39" s="0" t="s">
        <v>164</v>
      </c>
      <c r="C39" s="124" t="n">
        <f aca="false">C25*C13</f>
        <v>0</v>
      </c>
      <c r="D39" s="124" t="n">
        <f aca="false">D25*D13</f>
        <v>279.373328304382</v>
      </c>
      <c r="E39" s="124" t="n">
        <f aca="false">E25*E13</f>
        <v>-225.01714999538</v>
      </c>
    </row>
    <row r="40" customFormat="false" ht="13.8" hidden="false" customHeight="false" outlineLevel="0" collapsed="false">
      <c r="B40" s="0" t="s">
        <v>165</v>
      </c>
      <c r="C40" s="124" t="n">
        <f aca="false">C26*C13</f>
        <v>326.916587158543</v>
      </c>
      <c r="D40" s="124" t="n">
        <f aca="false">D26*D13</f>
        <v>383.681367338988</v>
      </c>
      <c r="E40" s="124" t="n">
        <f aca="false">E26*E13</f>
        <v>268.797502268724</v>
      </c>
    </row>
    <row r="41" customFormat="false" ht="13.8" hidden="false" customHeight="false" outlineLevel="0" collapsed="false">
      <c r="B41" s="0" t="s">
        <v>166</v>
      </c>
      <c r="C41" s="124" t="n">
        <f aca="false">(C27+C28)*C13</f>
        <v>-84.5546342860383</v>
      </c>
      <c r="D41" s="124" t="n">
        <f aca="false">(D27+D28)*D13</f>
        <v>-101.851520125349</v>
      </c>
      <c r="E41" s="124" t="n">
        <f aca="false">(E27+E28)*E13</f>
        <v>-71.7741814473568</v>
      </c>
    </row>
    <row r="42" customFormat="false" ht="13.8" hidden="false" customHeight="false" outlineLevel="0" collapsed="false">
      <c r="B42" s="0" t="s">
        <v>167</v>
      </c>
      <c r="C42" s="124" t="n">
        <f aca="false">-(C13-C21)*C20</f>
        <v>-80.8341068410117</v>
      </c>
      <c r="D42" s="124" t="n">
        <f aca="false">-(D13-D21)*D20</f>
        <v>-112.958163269151</v>
      </c>
      <c r="E42" s="124" t="n">
        <f aca="false">-(E13-E21)*E20</f>
        <v>-56.2545001016193</v>
      </c>
    </row>
    <row r="43" customFormat="false" ht="13.8" hidden="false" customHeight="false" outlineLevel="0" collapsed="false">
      <c r="B43" s="128" t="s">
        <v>168</v>
      </c>
      <c r="C43" s="125" t="n">
        <f aca="false">SUM(C38:C42)</f>
        <v>892.69867366657</v>
      </c>
      <c r="D43" s="125" t="n">
        <f aca="false">SUM(D38:D42)</f>
        <v>1476.60537288994</v>
      </c>
      <c r="E43" s="125" t="n">
        <f aca="false">SUM(E38:E42)</f>
        <v>445.924553732108</v>
      </c>
    </row>
    <row r="44" customFormat="false" ht="13.8" hidden="false" customHeight="false" outlineLevel="0" collapsed="false">
      <c r="B44" s="0" t="s">
        <v>169</v>
      </c>
      <c r="C44" s="129" t="n">
        <f aca="false">C43-('Paper LBO - Template'!D74-'Paper LBO - Template'!D75)</f>
        <v>0</v>
      </c>
      <c r="D44" s="129" t="n">
        <f aca="false">D43-('Bull Case'!D74-'Bull Case'!D75)</f>
        <v>0</v>
      </c>
      <c r="E44" s="129" t="n">
        <f aca="false">E43-('Bear Case'!D74-'Bear Case'!D75)</f>
        <v>0</v>
      </c>
    </row>
    <row r="45" customFormat="false" ht="13.8" hidden="false" customHeight="false" outlineLevel="0" collapsed="false">
      <c r="B45" s="0" t="s">
        <v>170</v>
      </c>
      <c r="C45" s="123" t="n">
        <f aca="false">'Paper LBO - Template'!D74</f>
        <v>1469.29067366657</v>
      </c>
      <c r="D45" s="123" t="n">
        <f aca="false">'Bull Case'!D74</f>
        <v>2053.19737288994</v>
      </c>
      <c r="E45" s="123" t="n">
        <f aca="false">'Bear Case'!D74</f>
        <v>1022.51655373211</v>
      </c>
    </row>
    <row r="46" customFormat="false" ht="13.8" hidden="false" customHeight="false" outlineLevel="0" collapsed="false">
      <c r="B46" s="121" t="s">
        <v>171</v>
      </c>
    </row>
    <row r="47" customFormat="false" ht="13.8" hidden="false" customHeight="false" outlineLevel="0" collapsed="false">
      <c r="B47" s="121" t="s">
        <v>66</v>
      </c>
      <c r="C47" s="130" t="n">
        <f aca="false">'Paper LBO - Template'!D77</f>
        <v>2.5482328469118</v>
      </c>
      <c r="D47" s="130" t="n">
        <f aca="false">'Bull Case'!D77</f>
        <v>3.56091893902437</v>
      </c>
      <c r="E47" s="130" t="n">
        <f aca="false">'Bear Case'!D77</f>
        <v>1.77337970997188</v>
      </c>
    </row>
    <row r="48" customFormat="false" ht="13.8" hidden="false" customHeight="false" outlineLevel="0" collapsed="false">
      <c r="B48" s="0" t="s">
        <v>172</v>
      </c>
      <c r="C48" s="131" t="n">
        <f aca="false">C38/C12</f>
        <v>1.26809048275917</v>
      </c>
      <c r="D48" s="131" t="n">
        <f aca="false">D38/D12</f>
        <v>1.78351479146618</v>
      </c>
      <c r="E48" s="131" t="n">
        <f aca="false">E38/E12</f>
        <v>0.919493997502115</v>
      </c>
    </row>
    <row r="49" customFormat="false" ht="13.8" hidden="false" customHeight="false" outlineLevel="0" collapsed="false">
      <c r="B49" s="0" t="s">
        <v>173</v>
      </c>
      <c r="C49" s="131" t="n">
        <f aca="false">C39/C12</f>
        <v>0</v>
      </c>
      <c r="D49" s="131" t="n">
        <f aca="false">D39/D12</f>
        <v>0.48452515523001</v>
      </c>
      <c r="E49" s="131" t="n">
        <f aca="false">E39/E12</f>
        <v>-0.390253680237291</v>
      </c>
    </row>
    <row r="50" customFormat="false" ht="13.8" hidden="false" customHeight="false" outlineLevel="0" collapsed="false">
      <c r="B50" s="0" t="s">
        <v>174</v>
      </c>
      <c r="C50" s="131" t="n">
        <f aca="false">C40/C12</f>
        <v>0.56698078911699</v>
      </c>
      <c r="D50" s="131" t="n">
        <f aca="false">D40/D12</f>
        <v>0.665429571237527</v>
      </c>
      <c r="E50" s="131" t="n">
        <f aca="false">E40/E12</f>
        <v>0.466183197596783</v>
      </c>
    </row>
    <row r="51" customFormat="false" ht="13.8" hidden="false" customHeight="false" outlineLevel="0" collapsed="false">
      <c r="B51" s="0" t="s">
        <v>175</v>
      </c>
      <c r="C51" s="131" t="n">
        <f aca="false">C41/C12</f>
        <v>-0.146645521072159</v>
      </c>
      <c r="D51" s="131" t="n">
        <f aca="false">D41/D12</f>
        <v>-0.176644004990269</v>
      </c>
      <c r="E51" s="131" t="n">
        <f aca="false">E41/E12</f>
        <v>-0.124480016107328</v>
      </c>
    </row>
    <row r="52" customFormat="false" ht="13.8" hidden="false" customHeight="false" outlineLevel="0" collapsed="false">
      <c r="B52" s="0" t="s">
        <v>176</v>
      </c>
      <c r="C52" s="131" t="n">
        <f aca="false">C42/C12</f>
        <v>-0.140192903892201</v>
      </c>
      <c r="D52" s="131" t="n">
        <f aca="false">D42/D12</f>
        <v>-0.195906573919082</v>
      </c>
      <c r="E52" s="131" t="n">
        <f aca="false">E42/E12</f>
        <v>-0.097563788782396</v>
      </c>
    </row>
    <row r="53" customFormat="false" ht="13.8" hidden="false" customHeight="false" outlineLevel="0" collapsed="false">
      <c r="B53" s="0" t="s">
        <v>177</v>
      </c>
      <c r="C53" s="131" t="n">
        <f aca="false">1</f>
        <v>1</v>
      </c>
      <c r="D53" s="131" t="n">
        <f aca="false">1</f>
        <v>1</v>
      </c>
      <c r="E53" s="131" t="n">
        <f aca="false">1</f>
        <v>1</v>
      </c>
    </row>
    <row r="54" customFormat="false" ht="13.8" hidden="false" customHeight="false" outlineLevel="0" collapsed="false">
      <c r="B54" s="0" t="s">
        <v>178</v>
      </c>
      <c r="C54" s="132" t="n">
        <f aca="false">SUM(C48:C53)-C47</f>
        <v>0</v>
      </c>
      <c r="D54" s="132" t="n">
        <f aca="false">SUM(D48:D53)-D47</f>
        <v>0</v>
      </c>
      <c r="E54" s="132" t="n">
        <f aca="false">SUM(E48:E53)-E47</f>
        <v>0</v>
      </c>
    </row>
    <row r="55" customFormat="false" ht="13.8" hidden="false" customHeight="false" outlineLevel="0" collapsed="false">
      <c r="B55" s="121" t="s">
        <v>67</v>
      </c>
      <c r="C55" s="133" t="n">
        <f aca="false">'Paper LBO - Template'!D78</f>
        <v>0.205723767479108</v>
      </c>
      <c r="D55" s="133" t="n">
        <f aca="false">'Bull Case'!D78</f>
        <v>0.289176610436575</v>
      </c>
      <c r="E55" s="133" t="n">
        <f aca="false">'Bear Case'!D78</f>
        <v>0.121399471382501</v>
      </c>
    </row>
    <row r="56" customFormat="false" ht="13.8" hidden="false" customHeight="false" outlineLevel="0" collapsed="false">
      <c r="B56" s="0" t="s">
        <v>179</v>
      </c>
      <c r="C56" s="126" t="n">
        <f aca="false">C55*C38/C43</f>
        <v>0.168499429616144</v>
      </c>
      <c r="D56" s="126" t="n">
        <f aca="false">D55*D38/D43</f>
        <v>0.201392849340311</v>
      </c>
      <c r="E56" s="126" t="n">
        <f aca="false">E55*E38/E43</f>
        <v>0.144335419971385</v>
      </c>
    </row>
    <row r="57" customFormat="false" ht="13.8" hidden="false" customHeight="false" outlineLevel="0" collapsed="false">
      <c r="B57" s="0" t="s">
        <v>173</v>
      </c>
      <c r="C57" s="126" t="n">
        <f aca="false">C55*C39/C43</f>
        <v>0</v>
      </c>
      <c r="D57" s="126" t="n">
        <f aca="false">D55*D39/D43</f>
        <v>0.0547121347441198</v>
      </c>
      <c r="E57" s="126" t="n">
        <f aca="false">E55*E39/E43</f>
        <v>-0.0612591588258828</v>
      </c>
    </row>
    <row r="58" customFormat="false" ht="13.8" hidden="false" customHeight="false" outlineLevel="0" collapsed="false">
      <c r="B58" s="0" t="s">
        <v>174</v>
      </c>
      <c r="C58" s="126" t="n">
        <f aca="false">C55*C40/C43</f>
        <v>0.075338424874582</v>
      </c>
      <c r="D58" s="126" t="n">
        <f aca="false">D55*D40/D43</f>
        <v>0.0751396949596694</v>
      </c>
      <c r="E58" s="126" t="n">
        <f aca="false">E55*E40/E43</f>
        <v>0.0731780172481007</v>
      </c>
    </row>
    <row r="59" customFormat="false" ht="13.8" hidden="false" customHeight="false" outlineLevel="0" collapsed="false">
      <c r="B59" s="0" t="s">
        <v>175</v>
      </c>
      <c r="C59" s="126" t="n">
        <f aca="false">C55*C41/C43</f>
        <v>-0.0194857441108276</v>
      </c>
      <c r="D59" s="126" t="n">
        <f aca="false">D55*D41/D43</f>
        <v>-0.0199464785232476</v>
      </c>
      <c r="E59" s="126" t="n">
        <f aca="false">E55*E41/E43</f>
        <v>-0.0195399594251888</v>
      </c>
    </row>
    <row r="60" customFormat="false" ht="13.8" hidden="false" customHeight="false" outlineLevel="0" collapsed="false">
      <c r="B60" s="0" t="s">
        <v>176</v>
      </c>
      <c r="C60" s="126" t="n">
        <f aca="false">C55*C42/C43</f>
        <v>-0.0186283429007905</v>
      </c>
      <c r="D60" s="126" t="n">
        <f aca="false">D55*D42/D43</f>
        <v>-0.0221215900842785</v>
      </c>
      <c r="E60" s="126" t="n">
        <f aca="false">E55*E42/E43</f>
        <v>-0.0153148475859128</v>
      </c>
    </row>
    <row r="61" customFormat="false" ht="13.8" hidden="false" customHeight="false" outlineLevel="0" collapsed="false">
      <c r="B61" s="121" t="s">
        <v>180</v>
      </c>
    </row>
    <row r="62" customFormat="false" ht="13.8" hidden="false" customHeight="false" outlineLevel="0" collapsed="false">
      <c r="B62" s="0" t="s">
        <v>158</v>
      </c>
      <c r="C62" s="126" t="n">
        <f aca="false">C38/C43</f>
        <v>0.819056697633422</v>
      </c>
      <c r="D62" s="126" t="n">
        <f aca="false">D38/D43</f>
        <v>0.696435472551758</v>
      </c>
      <c r="E62" s="126" t="n">
        <f aca="false">E38/E43</f>
        <v>1.18892955898151</v>
      </c>
    </row>
    <row r="63" customFormat="false" ht="13.8" hidden="false" customHeight="false" outlineLevel="0" collapsed="false">
      <c r="B63" s="0" t="s">
        <v>159</v>
      </c>
      <c r="C63" s="126" t="n">
        <f aca="false">C39/C43</f>
        <v>0</v>
      </c>
      <c r="D63" s="126" t="n">
        <f aca="false">D39/D43</f>
        <v>0.189199723523697</v>
      </c>
      <c r="E63" s="126" t="n">
        <f aca="false">E39/E43</f>
        <v>-0.504608118373676</v>
      </c>
    </row>
    <row r="64" customFormat="false" ht="13.8" hidden="false" customHeight="false" outlineLevel="0" collapsed="false">
      <c r="B64" s="0" t="s">
        <v>160</v>
      </c>
      <c r="C64" s="126" t="n">
        <f aca="false">C40/C43</f>
        <v>0.366211574859637</v>
      </c>
      <c r="D64" s="126" t="n">
        <f aca="false">D40/D43</f>
        <v>0.259840153898442</v>
      </c>
      <c r="E64" s="126" t="n">
        <f aca="false">E40/E43</f>
        <v>0.602786951333042</v>
      </c>
    </row>
    <row r="65" customFormat="false" ht="13.8" hidden="false" customHeight="false" outlineLevel="0" collapsed="false">
      <c r="B65" s="0" t="s">
        <v>161</v>
      </c>
      <c r="C65" s="126" t="n">
        <f aca="false">C41/C43</f>
        <v>-0.0947180014715919</v>
      </c>
      <c r="D65" s="126" t="n">
        <f aca="false">D41/D43</f>
        <v>-0.0689768044972035</v>
      </c>
      <c r="E65" s="126" t="n">
        <f aca="false">E41/E43</f>
        <v>-0.160955885578966</v>
      </c>
    </row>
    <row r="66" customFormat="false" ht="13.8" hidden="false" customHeight="false" outlineLevel="0" collapsed="false">
      <c r="B66" s="0" t="s">
        <v>181</v>
      </c>
      <c r="C66" s="126" t="n">
        <f aca="false">C42/C43</f>
        <v>-0.0905502710214667</v>
      </c>
      <c r="D66" s="126" t="n">
        <f aca="false">D42/D43</f>
        <v>-0.0764985454766939</v>
      </c>
      <c r="E66" s="126" t="n">
        <f aca="false">E42/E43</f>
        <v>-0.126152506361905</v>
      </c>
    </row>
    <row r="68" customFormat="false" ht="13.8" hidden="false" customHeight="false" outlineLevel="0" collapsed="false">
      <c r="B68" s="121" t="s">
        <v>182</v>
      </c>
    </row>
    <row r="69" customFormat="false" ht="12.8" hidden="false" customHeight="false" outlineLevel="0" collapsed="false">
      <c r="B69" s="0" t="s">
        <v>183</v>
      </c>
    </row>
    <row r="70" customFormat="false" ht="12.8" hidden="false" customHeight="false" outlineLevel="0" collapsed="false">
      <c r="B70" s="0" t="s">
        <v>184</v>
      </c>
    </row>
    <row r="71" customFormat="false" ht="12.8" hidden="false" customHeight="false" outlineLevel="0" collapsed="false">
      <c r="B71" s="0" t="s">
        <v>185</v>
      </c>
    </row>
    <row r="72" customFormat="false" ht="12.8" hidden="false" customHeight="false" outlineLevel="0" collapsed="false">
      <c r="B72" s="0" t="s">
        <v>186</v>
      </c>
    </row>
    <row r="73" customFormat="false" ht="12.8" hidden="false" customHeight="false" outlineLevel="0" collapsed="false">
      <c r="B73" s="0" t="s">
        <v>187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false"/>
  </sheetPr>
  <dimension ref="A5:IU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32" activeCellId="0" sqref="C32"/>
    </sheetView>
  </sheetViews>
  <sheetFormatPr defaultColWidth="8.83203125" defaultRowHeight="10.5" zeroHeight="false" outlineLevelRow="0" outlineLevelCol="0"/>
  <cols>
    <col collapsed="false" customWidth="true" hidden="false" outlineLevel="0" max="1" min="1" style="134" width="45.83"/>
    <col collapsed="false" customWidth="true" hidden="false" outlineLevel="0" max="8" min="2" style="134" width="14.83"/>
    <col collapsed="false" customWidth="false" hidden="false" outlineLevel="0" max="256" min="9" style="134" width="8.83"/>
    <col collapsed="false" customWidth="true" hidden="false" outlineLevel="0" max="257" min="257" style="134" width="45.83"/>
    <col collapsed="false" customWidth="true" hidden="false" outlineLevel="0" max="264" min="258" style="134" width="14.83"/>
    <col collapsed="false" customWidth="false" hidden="false" outlineLevel="0" max="512" min="265" style="134" width="8.83"/>
    <col collapsed="false" customWidth="true" hidden="false" outlineLevel="0" max="513" min="513" style="134" width="45.83"/>
    <col collapsed="false" customWidth="true" hidden="false" outlineLevel="0" max="520" min="514" style="134" width="14.83"/>
    <col collapsed="false" customWidth="false" hidden="false" outlineLevel="0" max="768" min="521" style="134" width="8.83"/>
    <col collapsed="false" customWidth="true" hidden="false" outlineLevel="0" max="769" min="769" style="134" width="45.83"/>
    <col collapsed="false" customWidth="true" hidden="false" outlineLevel="0" max="776" min="770" style="134" width="14.83"/>
    <col collapsed="false" customWidth="false" hidden="false" outlineLevel="0" max="1024" min="777" style="134" width="8.83"/>
    <col collapsed="false" customWidth="true" hidden="false" outlineLevel="0" max="1025" min="1025" style="134" width="45.83"/>
    <col collapsed="false" customWidth="true" hidden="false" outlineLevel="0" max="1032" min="1026" style="134" width="14.83"/>
    <col collapsed="false" customWidth="false" hidden="false" outlineLevel="0" max="1280" min="1033" style="134" width="8.83"/>
    <col collapsed="false" customWidth="true" hidden="false" outlineLevel="0" max="1281" min="1281" style="134" width="45.83"/>
    <col collapsed="false" customWidth="true" hidden="false" outlineLevel="0" max="1288" min="1282" style="134" width="14.83"/>
    <col collapsed="false" customWidth="false" hidden="false" outlineLevel="0" max="1536" min="1289" style="134" width="8.83"/>
    <col collapsed="false" customWidth="true" hidden="false" outlineLevel="0" max="1537" min="1537" style="134" width="45.83"/>
    <col collapsed="false" customWidth="true" hidden="false" outlineLevel="0" max="1544" min="1538" style="134" width="14.83"/>
    <col collapsed="false" customWidth="false" hidden="false" outlineLevel="0" max="1792" min="1545" style="134" width="8.83"/>
    <col collapsed="false" customWidth="true" hidden="false" outlineLevel="0" max="1793" min="1793" style="134" width="45.83"/>
    <col collapsed="false" customWidth="true" hidden="false" outlineLevel="0" max="1800" min="1794" style="134" width="14.83"/>
    <col collapsed="false" customWidth="false" hidden="false" outlineLevel="0" max="2048" min="1801" style="134" width="8.83"/>
    <col collapsed="false" customWidth="true" hidden="false" outlineLevel="0" max="2049" min="2049" style="134" width="45.83"/>
    <col collapsed="false" customWidth="true" hidden="false" outlineLevel="0" max="2056" min="2050" style="134" width="14.83"/>
    <col collapsed="false" customWidth="false" hidden="false" outlineLevel="0" max="2304" min="2057" style="134" width="8.83"/>
    <col collapsed="false" customWidth="true" hidden="false" outlineLevel="0" max="2305" min="2305" style="134" width="45.83"/>
    <col collapsed="false" customWidth="true" hidden="false" outlineLevel="0" max="2312" min="2306" style="134" width="14.83"/>
    <col collapsed="false" customWidth="false" hidden="false" outlineLevel="0" max="2560" min="2313" style="134" width="8.83"/>
    <col collapsed="false" customWidth="true" hidden="false" outlineLevel="0" max="2561" min="2561" style="134" width="45.83"/>
    <col collapsed="false" customWidth="true" hidden="false" outlineLevel="0" max="2568" min="2562" style="134" width="14.83"/>
    <col collapsed="false" customWidth="false" hidden="false" outlineLevel="0" max="2816" min="2569" style="134" width="8.83"/>
    <col collapsed="false" customWidth="true" hidden="false" outlineLevel="0" max="2817" min="2817" style="134" width="45.83"/>
    <col collapsed="false" customWidth="true" hidden="false" outlineLevel="0" max="2824" min="2818" style="134" width="14.83"/>
    <col collapsed="false" customWidth="false" hidden="false" outlineLevel="0" max="3072" min="2825" style="134" width="8.83"/>
    <col collapsed="false" customWidth="true" hidden="false" outlineLevel="0" max="3073" min="3073" style="134" width="45.83"/>
    <col collapsed="false" customWidth="true" hidden="false" outlineLevel="0" max="3080" min="3074" style="134" width="14.83"/>
    <col collapsed="false" customWidth="false" hidden="false" outlineLevel="0" max="3328" min="3081" style="134" width="8.83"/>
    <col collapsed="false" customWidth="true" hidden="false" outlineLevel="0" max="3329" min="3329" style="134" width="45.83"/>
    <col collapsed="false" customWidth="true" hidden="false" outlineLevel="0" max="3336" min="3330" style="134" width="14.83"/>
    <col collapsed="false" customWidth="false" hidden="false" outlineLevel="0" max="3584" min="3337" style="134" width="8.83"/>
    <col collapsed="false" customWidth="true" hidden="false" outlineLevel="0" max="3585" min="3585" style="134" width="45.83"/>
    <col collapsed="false" customWidth="true" hidden="false" outlineLevel="0" max="3592" min="3586" style="134" width="14.83"/>
    <col collapsed="false" customWidth="false" hidden="false" outlineLevel="0" max="3840" min="3593" style="134" width="8.83"/>
    <col collapsed="false" customWidth="true" hidden="false" outlineLevel="0" max="3841" min="3841" style="134" width="45.83"/>
    <col collapsed="false" customWidth="true" hidden="false" outlineLevel="0" max="3848" min="3842" style="134" width="14.83"/>
    <col collapsed="false" customWidth="false" hidden="false" outlineLevel="0" max="4096" min="3849" style="134" width="8.83"/>
    <col collapsed="false" customWidth="true" hidden="false" outlineLevel="0" max="4097" min="4097" style="134" width="45.83"/>
    <col collapsed="false" customWidth="true" hidden="false" outlineLevel="0" max="4104" min="4098" style="134" width="14.83"/>
    <col collapsed="false" customWidth="false" hidden="false" outlineLevel="0" max="4352" min="4105" style="134" width="8.83"/>
    <col collapsed="false" customWidth="true" hidden="false" outlineLevel="0" max="4353" min="4353" style="134" width="45.83"/>
    <col collapsed="false" customWidth="true" hidden="false" outlineLevel="0" max="4360" min="4354" style="134" width="14.83"/>
    <col collapsed="false" customWidth="false" hidden="false" outlineLevel="0" max="4608" min="4361" style="134" width="8.83"/>
    <col collapsed="false" customWidth="true" hidden="false" outlineLevel="0" max="4609" min="4609" style="134" width="45.83"/>
    <col collapsed="false" customWidth="true" hidden="false" outlineLevel="0" max="4616" min="4610" style="134" width="14.83"/>
    <col collapsed="false" customWidth="false" hidden="false" outlineLevel="0" max="4864" min="4617" style="134" width="8.83"/>
    <col collapsed="false" customWidth="true" hidden="false" outlineLevel="0" max="4865" min="4865" style="134" width="45.83"/>
    <col collapsed="false" customWidth="true" hidden="false" outlineLevel="0" max="4872" min="4866" style="134" width="14.83"/>
    <col collapsed="false" customWidth="false" hidden="false" outlineLevel="0" max="5120" min="4873" style="134" width="8.83"/>
    <col collapsed="false" customWidth="true" hidden="false" outlineLevel="0" max="5121" min="5121" style="134" width="45.83"/>
    <col collapsed="false" customWidth="true" hidden="false" outlineLevel="0" max="5128" min="5122" style="134" width="14.83"/>
    <col collapsed="false" customWidth="false" hidden="false" outlineLevel="0" max="5376" min="5129" style="134" width="8.83"/>
    <col collapsed="false" customWidth="true" hidden="false" outlineLevel="0" max="5377" min="5377" style="134" width="45.83"/>
    <col collapsed="false" customWidth="true" hidden="false" outlineLevel="0" max="5384" min="5378" style="134" width="14.83"/>
    <col collapsed="false" customWidth="false" hidden="false" outlineLevel="0" max="5632" min="5385" style="134" width="8.83"/>
    <col collapsed="false" customWidth="true" hidden="false" outlineLevel="0" max="5633" min="5633" style="134" width="45.83"/>
    <col collapsed="false" customWidth="true" hidden="false" outlineLevel="0" max="5640" min="5634" style="134" width="14.83"/>
    <col collapsed="false" customWidth="false" hidden="false" outlineLevel="0" max="5888" min="5641" style="134" width="8.83"/>
    <col collapsed="false" customWidth="true" hidden="false" outlineLevel="0" max="5889" min="5889" style="134" width="45.83"/>
    <col collapsed="false" customWidth="true" hidden="false" outlineLevel="0" max="5896" min="5890" style="134" width="14.83"/>
    <col collapsed="false" customWidth="false" hidden="false" outlineLevel="0" max="6144" min="5897" style="134" width="8.83"/>
    <col collapsed="false" customWidth="true" hidden="false" outlineLevel="0" max="6145" min="6145" style="134" width="45.83"/>
    <col collapsed="false" customWidth="true" hidden="false" outlineLevel="0" max="6152" min="6146" style="134" width="14.83"/>
    <col collapsed="false" customWidth="false" hidden="false" outlineLevel="0" max="6400" min="6153" style="134" width="8.83"/>
    <col collapsed="false" customWidth="true" hidden="false" outlineLevel="0" max="6401" min="6401" style="134" width="45.83"/>
    <col collapsed="false" customWidth="true" hidden="false" outlineLevel="0" max="6408" min="6402" style="134" width="14.83"/>
    <col collapsed="false" customWidth="false" hidden="false" outlineLevel="0" max="6656" min="6409" style="134" width="8.83"/>
    <col collapsed="false" customWidth="true" hidden="false" outlineLevel="0" max="6657" min="6657" style="134" width="45.83"/>
    <col collapsed="false" customWidth="true" hidden="false" outlineLevel="0" max="6664" min="6658" style="134" width="14.83"/>
    <col collapsed="false" customWidth="false" hidden="false" outlineLevel="0" max="6912" min="6665" style="134" width="8.83"/>
    <col collapsed="false" customWidth="true" hidden="false" outlineLevel="0" max="6913" min="6913" style="134" width="45.83"/>
    <col collapsed="false" customWidth="true" hidden="false" outlineLevel="0" max="6920" min="6914" style="134" width="14.83"/>
    <col collapsed="false" customWidth="false" hidden="false" outlineLevel="0" max="7168" min="6921" style="134" width="8.83"/>
    <col collapsed="false" customWidth="true" hidden="false" outlineLevel="0" max="7169" min="7169" style="134" width="45.83"/>
    <col collapsed="false" customWidth="true" hidden="false" outlineLevel="0" max="7176" min="7170" style="134" width="14.83"/>
    <col collapsed="false" customWidth="false" hidden="false" outlineLevel="0" max="7424" min="7177" style="134" width="8.83"/>
    <col collapsed="false" customWidth="true" hidden="false" outlineLevel="0" max="7425" min="7425" style="134" width="45.83"/>
    <col collapsed="false" customWidth="true" hidden="false" outlineLevel="0" max="7432" min="7426" style="134" width="14.83"/>
    <col collapsed="false" customWidth="false" hidden="false" outlineLevel="0" max="7680" min="7433" style="134" width="8.83"/>
    <col collapsed="false" customWidth="true" hidden="false" outlineLevel="0" max="7681" min="7681" style="134" width="45.83"/>
    <col collapsed="false" customWidth="true" hidden="false" outlineLevel="0" max="7688" min="7682" style="134" width="14.83"/>
    <col collapsed="false" customWidth="false" hidden="false" outlineLevel="0" max="7936" min="7689" style="134" width="8.83"/>
    <col collapsed="false" customWidth="true" hidden="false" outlineLevel="0" max="7937" min="7937" style="134" width="45.83"/>
    <col collapsed="false" customWidth="true" hidden="false" outlineLevel="0" max="7944" min="7938" style="134" width="14.83"/>
    <col collapsed="false" customWidth="false" hidden="false" outlineLevel="0" max="8192" min="7945" style="134" width="8.83"/>
    <col collapsed="false" customWidth="true" hidden="false" outlineLevel="0" max="8193" min="8193" style="134" width="45.83"/>
    <col collapsed="false" customWidth="true" hidden="false" outlineLevel="0" max="8200" min="8194" style="134" width="14.83"/>
    <col collapsed="false" customWidth="false" hidden="false" outlineLevel="0" max="8448" min="8201" style="134" width="8.83"/>
    <col collapsed="false" customWidth="true" hidden="false" outlineLevel="0" max="8449" min="8449" style="134" width="45.83"/>
    <col collapsed="false" customWidth="true" hidden="false" outlineLevel="0" max="8456" min="8450" style="134" width="14.83"/>
    <col collapsed="false" customWidth="false" hidden="false" outlineLevel="0" max="8704" min="8457" style="134" width="8.83"/>
    <col collapsed="false" customWidth="true" hidden="false" outlineLevel="0" max="8705" min="8705" style="134" width="45.83"/>
    <col collapsed="false" customWidth="true" hidden="false" outlineLevel="0" max="8712" min="8706" style="134" width="14.83"/>
    <col collapsed="false" customWidth="false" hidden="false" outlineLevel="0" max="8960" min="8713" style="134" width="8.83"/>
    <col collapsed="false" customWidth="true" hidden="false" outlineLevel="0" max="8961" min="8961" style="134" width="45.83"/>
    <col collapsed="false" customWidth="true" hidden="false" outlineLevel="0" max="8968" min="8962" style="134" width="14.83"/>
    <col collapsed="false" customWidth="false" hidden="false" outlineLevel="0" max="9216" min="8969" style="134" width="8.83"/>
    <col collapsed="false" customWidth="true" hidden="false" outlineLevel="0" max="9217" min="9217" style="134" width="45.83"/>
    <col collapsed="false" customWidth="true" hidden="false" outlineLevel="0" max="9224" min="9218" style="134" width="14.83"/>
    <col collapsed="false" customWidth="false" hidden="false" outlineLevel="0" max="9472" min="9225" style="134" width="8.83"/>
    <col collapsed="false" customWidth="true" hidden="false" outlineLevel="0" max="9473" min="9473" style="134" width="45.83"/>
    <col collapsed="false" customWidth="true" hidden="false" outlineLevel="0" max="9480" min="9474" style="134" width="14.83"/>
    <col collapsed="false" customWidth="false" hidden="false" outlineLevel="0" max="9728" min="9481" style="134" width="8.83"/>
    <col collapsed="false" customWidth="true" hidden="false" outlineLevel="0" max="9729" min="9729" style="134" width="45.83"/>
    <col collapsed="false" customWidth="true" hidden="false" outlineLevel="0" max="9736" min="9730" style="134" width="14.83"/>
    <col collapsed="false" customWidth="false" hidden="false" outlineLevel="0" max="9984" min="9737" style="134" width="8.83"/>
    <col collapsed="false" customWidth="true" hidden="false" outlineLevel="0" max="9985" min="9985" style="134" width="45.83"/>
    <col collapsed="false" customWidth="true" hidden="false" outlineLevel="0" max="9992" min="9986" style="134" width="14.83"/>
    <col collapsed="false" customWidth="false" hidden="false" outlineLevel="0" max="10240" min="9993" style="134" width="8.83"/>
    <col collapsed="false" customWidth="true" hidden="false" outlineLevel="0" max="10241" min="10241" style="134" width="45.83"/>
    <col collapsed="false" customWidth="true" hidden="false" outlineLevel="0" max="10248" min="10242" style="134" width="14.83"/>
    <col collapsed="false" customWidth="false" hidden="false" outlineLevel="0" max="10496" min="10249" style="134" width="8.83"/>
    <col collapsed="false" customWidth="true" hidden="false" outlineLevel="0" max="10497" min="10497" style="134" width="45.83"/>
    <col collapsed="false" customWidth="true" hidden="false" outlineLevel="0" max="10504" min="10498" style="134" width="14.83"/>
    <col collapsed="false" customWidth="false" hidden="false" outlineLevel="0" max="10752" min="10505" style="134" width="8.83"/>
    <col collapsed="false" customWidth="true" hidden="false" outlineLevel="0" max="10753" min="10753" style="134" width="45.83"/>
    <col collapsed="false" customWidth="true" hidden="false" outlineLevel="0" max="10760" min="10754" style="134" width="14.83"/>
    <col collapsed="false" customWidth="false" hidden="false" outlineLevel="0" max="11008" min="10761" style="134" width="8.83"/>
    <col collapsed="false" customWidth="true" hidden="false" outlineLevel="0" max="11009" min="11009" style="134" width="45.83"/>
    <col collapsed="false" customWidth="true" hidden="false" outlineLevel="0" max="11016" min="11010" style="134" width="14.83"/>
    <col collapsed="false" customWidth="false" hidden="false" outlineLevel="0" max="11264" min="11017" style="134" width="8.83"/>
    <col collapsed="false" customWidth="true" hidden="false" outlineLevel="0" max="11265" min="11265" style="134" width="45.83"/>
    <col collapsed="false" customWidth="true" hidden="false" outlineLevel="0" max="11272" min="11266" style="134" width="14.83"/>
    <col collapsed="false" customWidth="false" hidden="false" outlineLevel="0" max="11520" min="11273" style="134" width="8.83"/>
    <col collapsed="false" customWidth="true" hidden="false" outlineLevel="0" max="11521" min="11521" style="134" width="45.83"/>
    <col collapsed="false" customWidth="true" hidden="false" outlineLevel="0" max="11528" min="11522" style="134" width="14.83"/>
    <col collapsed="false" customWidth="false" hidden="false" outlineLevel="0" max="11776" min="11529" style="134" width="8.83"/>
    <col collapsed="false" customWidth="true" hidden="false" outlineLevel="0" max="11777" min="11777" style="134" width="45.83"/>
    <col collapsed="false" customWidth="true" hidden="false" outlineLevel="0" max="11784" min="11778" style="134" width="14.83"/>
    <col collapsed="false" customWidth="false" hidden="false" outlineLevel="0" max="12032" min="11785" style="134" width="8.83"/>
    <col collapsed="false" customWidth="true" hidden="false" outlineLevel="0" max="12033" min="12033" style="134" width="45.83"/>
    <col collapsed="false" customWidth="true" hidden="false" outlineLevel="0" max="12040" min="12034" style="134" width="14.83"/>
    <col collapsed="false" customWidth="false" hidden="false" outlineLevel="0" max="12288" min="12041" style="134" width="8.83"/>
    <col collapsed="false" customWidth="true" hidden="false" outlineLevel="0" max="12289" min="12289" style="134" width="45.83"/>
    <col collapsed="false" customWidth="true" hidden="false" outlineLevel="0" max="12296" min="12290" style="134" width="14.83"/>
    <col collapsed="false" customWidth="false" hidden="false" outlineLevel="0" max="12544" min="12297" style="134" width="8.83"/>
    <col collapsed="false" customWidth="true" hidden="false" outlineLevel="0" max="12545" min="12545" style="134" width="45.83"/>
    <col collapsed="false" customWidth="true" hidden="false" outlineLevel="0" max="12552" min="12546" style="134" width="14.83"/>
    <col collapsed="false" customWidth="false" hidden="false" outlineLevel="0" max="12800" min="12553" style="134" width="8.83"/>
    <col collapsed="false" customWidth="true" hidden="false" outlineLevel="0" max="12801" min="12801" style="134" width="45.83"/>
    <col collapsed="false" customWidth="true" hidden="false" outlineLevel="0" max="12808" min="12802" style="134" width="14.83"/>
    <col collapsed="false" customWidth="false" hidden="false" outlineLevel="0" max="13056" min="12809" style="134" width="8.83"/>
    <col collapsed="false" customWidth="true" hidden="false" outlineLevel="0" max="13057" min="13057" style="134" width="45.83"/>
    <col collapsed="false" customWidth="true" hidden="false" outlineLevel="0" max="13064" min="13058" style="134" width="14.83"/>
    <col collapsed="false" customWidth="false" hidden="false" outlineLevel="0" max="13312" min="13065" style="134" width="8.83"/>
    <col collapsed="false" customWidth="true" hidden="false" outlineLevel="0" max="13313" min="13313" style="134" width="45.83"/>
    <col collapsed="false" customWidth="true" hidden="false" outlineLevel="0" max="13320" min="13314" style="134" width="14.83"/>
    <col collapsed="false" customWidth="false" hidden="false" outlineLevel="0" max="13568" min="13321" style="134" width="8.83"/>
    <col collapsed="false" customWidth="true" hidden="false" outlineLevel="0" max="13569" min="13569" style="134" width="45.83"/>
    <col collapsed="false" customWidth="true" hidden="false" outlineLevel="0" max="13576" min="13570" style="134" width="14.83"/>
    <col collapsed="false" customWidth="false" hidden="false" outlineLevel="0" max="13824" min="13577" style="134" width="8.83"/>
    <col collapsed="false" customWidth="true" hidden="false" outlineLevel="0" max="13825" min="13825" style="134" width="45.83"/>
    <col collapsed="false" customWidth="true" hidden="false" outlineLevel="0" max="13832" min="13826" style="134" width="14.83"/>
    <col collapsed="false" customWidth="false" hidden="false" outlineLevel="0" max="14080" min="13833" style="134" width="8.83"/>
    <col collapsed="false" customWidth="true" hidden="false" outlineLevel="0" max="14081" min="14081" style="134" width="45.83"/>
    <col collapsed="false" customWidth="true" hidden="false" outlineLevel="0" max="14088" min="14082" style="134" width="14.83"/>
    <col collapsed="false" customWidth="false" hidden="false" outlineLevel="0" max="14336" min="14089" style="134" width="8.83"/>
    <col collapsed="false" customWidth="true" hidden="false" outlineLevel="0" max="14337" min="14337" style="134" width="45.83"/>
    <col collapsed="false" customWidth="true" hidden="false" outlineLevel="0" max="14344" min="14338" style="134" width="14.83"/>
    <col collapsed="false" customWidth="false" hidden="false" outlineLevel="0" max="14592" min="14345" style="134" width="8.83"/>
    <col collapsed="false" customWidth="true" hidden="false" outlineLevel="0" max="14593" min="14593" style="134" width="45.83"/>
    <col collapsed="false" customWidth="true" hidden="false" outlineLevel="0" max="14600" min="14594" style="134" width="14.83"/>
    <col collapsed="false" customWidth="false" hidden="false" outlineLevel="0" max="14848" min="14601" style="134" width="8.83"/>
    <col collapsed="false" customWidth="true" hidden="false" outlineLevel="0" max="14849" min="14849" style="134" width="45.83"/>
    <col collapsed="false" customWidth="true" hidden="false" outlineLevel="0" max="14856" min="14850" style="134" width="14.83"/>
    <col collapsed="false" customWidth="false" hidden="false" outlineLevel="0" max="15104" min="14857" style="134" width="8.83"/>
    <col collapsed="false" customWidth="true" hidden="false" outlineLevel="0" max="15105" min="15105" style="134" width="45.83"/>
    <col collapsed="false" customWidth="true" hidden="false" outlineLevel="0" max="15112" min="15106" style="134" width="14.83"/>
    <col collapsed="false" customWidth="false" hidden="false" outlineLevel="0" max="15360" min="15113" style="134" width="8.83"/>
    <col collapsed="false" customWidth="true" hidden="false" outlineLevel="0" max="15361" min="15361" style="134" width="45.83"/>
    <col collapsed="false" customWidth="true" hidden="false" outlineLevel="0" max="15368" min="15362" style="134" width="14.83"/>
    <col collapsed="false" customWidth="false" hidden="false" outlineLevel="0" max="15616" min="15369" style="134" width="8.83"/>
    <col collapsed="false" customWidth="true" hidden="false" outlineLevel="0" max="15617" min="15617" style="134" width="45.83"/>
    <col collapsed="false" customWidth="true" hidden="false" outlineLevel="0" max="15624" min="15618" style="134" width="14.83"/>
    <col collapsed="false" customWidth="false" hidden="false" outlineLevel="0" max="15872" min="15625" style="134" width="8.83"/>
    <col collapsed="false" customWidth="true" hidden="false" outlineLevel="0" max="15873" min="15873" style="134" width="45.83"/>
    <col collapsed="false" customWidth="true" hidden="false" outlineLevel="0" max="15880" min="15874" style="134" width="14.83"/>
    <col collapsed="false" customWidth="false" hidden="false" outlineLevel="0" max="16128" min="15881" style="134" width="8.83"/>
    <col collapsed="false" customWidth="true" hidden="false" outlineLevel="0" max="16129" min="16129" style="134" width="45.83"/>
    <col collapsed="false" customWidth="true" hidden="false" outlineLevel="0" max="16136" min="16130" style="134" width="14.83"/>
    <col collapsed="false" customWidth="false" hidden="false" outlineLevel="0" max="16384" min="16137" style="134" width="8.83"/>
  </cols>
  <sheetData>
    <row r="5" customFormat="false" ht="16.15" hidden="false" customHeight="false" outlineLevel="0" collapsed="false">
      <c r="A5" s="135" t="s">
        <v>188</v>
      </c>
    </row>
    <row r="7" customFormat="false" ht="10.5" hidden="false" customHeight="false" outlineLevel="0" collapsed="false">
      <c r="A7" s="136" t="s">
        <v>189</v>
      </c>
      <c r="B7" s="137" t="s">
        <v>190</v>
      </c>
      <c r="C7" s="134" t="s">
        <v>191</v>
      </c>
      <c r="D7" s="138" t="s">
        <v>192</v>
      </c>
      <c r="E7" s="137" t="s">
        <v>193</v>
      </c>
      <c r="F7" s="134" t="s">
        <v>194</v>
      </c>
    </row>
    <row r="8" customFormat="false" ht="10.5" hidden="false" customHeight="false" outlineLevel="0" collapsed="false">
      <c r="A8" s="138"/>
      <c r="B8" s="137" t="s">
        <v>195</v>
      </c>
      <c r="C8" s="134" t="s">
        <v>196</v>
      </c>
      <c r="D8" s="138" t="s">
        <v>192</v>
      </c>
      <c r="E8" s="137" t="s">
        <v>197</v>
      </c>
      <c r="F8" s="134" t="s">
        <v>198</v>
      </c>
    </row>
    <row r="9" customFormat="false" ht="10.5" hidden="false" customHeight="false" outlineLevel="0" collapsed="false">
      <c r="A9" s="138"/>
      <c r="B9" s="137" t="s">
        <v>199</v>
      </c>
      <c r="C9" s="139" t="s">
        <v>200</v>
      </c>
      <c r="D9" s="138" t="s">
        <v>192</v>
      </c>
      <c r="E9" s="137" t="s">
        <v>201</v>
      </c>
      <c r="F9" s="134" t="s">
        <v>202</v>
      </c>
    </row>
    <row r="12" customFormat="false" ht="10.5" hidden="false" customHeight="false" outlineLevel="0" collapsed="false">
      <c r="A12" s="140" t="s">
        <v>203</v>
      </c>
      <c r="B12" s="140"/>
      <c r="C12" s="140"/>
      <c r="D12" s="140"/>
      <c r="E12" s="140"/>
      <c r="F12" s="140"/>
      <c r="G12" s="140"/>
      <c r="H12" s="140"/>
      <c r="I12" s="141"/>
      <c r="J12" s="142"/>
      <c r="K12" s="143"/>
      <c r="L12" s="143"/>
      <c r="M12" s="143"/>
      <c r="N12" s="143"/>
      <c r="O12" s="143"/>
      <c r="P12" s="143"/>
      <c r="Q12" s="143"/>
      <c r="R12" s="143"/>
      <c r="S12" s="143"/>
      <c r="T12" s="143"/>
      <c r="U12" s="143"/>
      <c r="V12" s="143"/>
      <c r="W12" s="143"/>
      <c r="X12" s="143"/>
      <c r="Y12" s="143"/>
      <c r="Z12" s="143"/>
      <c r="AA12" s="143"/>
      <c r="AB12" s="143"/>
      <c r="AC12" s="143"/>
      <c r="AD12" s="143"/>
      <c r="AE12" s="143"/>
      <c r="AF12" s="143"/>
      <c r="AG12" s="143"/>
      <c r="AH12" s="143"/>
      <c r="AI12" s="143"/>
      <c r="AJ12" s="143"/>
      <c r="AK12" s="143"/>
      <c r="AL12" s="143"/>
      <c r="AM12" s="143"/>
      <c r="AN12" s="143"/>
      <c r="AO12" s="143"/>
      <c r="AP12" s="143"/>
      <c r="AQ12" s="143"/>
      <c r="AR12" s="143"/>
      <c r="AS12" s="143"/>
      <c r="AT12" s="143"/>
      <c r="AU12" s="143"/>
      <c r="AV12" s="143"/>
      <c r="AW12" s="143"/>
      <c r="AX12" s="143"/>
      <c r="AY12" s="143"/>
      <c r="AZ12" s="143"/>
      <c r="BA12" s="143"/>
      <c r="BB12" s="143"/>
      <c r="BC12" s="143"/>
      <c r="BD12" s="143"/>
      <c r="BE12" s="143"/>
      <c r="BF12" s="143"/>
      <c r="BG12" s="143"/>
      <c r="BH12" s="143"/>
      <c r="BI12" s="143"/>
      <c r="BJ12" s="143"/>
      <c r="BK12" s="143"/>
      <c r="BL12" s="143"/>
      <c r="BM12" s="143"/>
      <c r="BN12" s="143"/>
      <c r="BO12" s="143"/>
      <c r="BP12" s="143"/>
      <c r="BQ12" s="143"/>
      <c r="BR12" s="143"/>
      <c r="BS12" s="143"/>
      <c r="BT12" s="143"/>
      <c r="BU12" s="143"/>
      <c r="BV12" s="143"/>
      <c r="BW12" s="143"/>
      <c r="BX12" s="143"/>
      <c r="BY12" s="143"/>
      <c r="BZ12" s="143"/>
      <c r="CA12" s="143"/>
      <c r="CB12" s="143"/>
      <c r="CC12" s="143"/>
      <c r="CD12" s="143"/>
      <c r="CE12" s="143"/>
      <c r="CF12" s="143"/>
      <c r="CG12" s="143"/>
      <c r="CH12" s="143"/>
      <c r="CI12" s="143"/>
      <c r="CJ12" s="143"/>
      <c r="CK12" s="143"/>
      <c r="CL12" s="143"/>
      <c r="CM12" s="143"/>
      <c r="CN12" s="143"/>
      <c r="CO12" s="143"/>
      <c r="CP12" s="143"/>
      <c r="CQ12" s="143"/>
      <c r="CR12" s="143"/>
      <c r="CS12" s="143"/>
      <c r="CT12" s="143"/>
      <c r="CU12" s="143"/>
      <c r="CV12" s="143"/>
      <c r="CW12" s="143"/>
      <c r="CX12" s="143"/>
      <c r="CY12" s="143"/>
      <c r="CZ12" s="143"/>
      <c r="DA12" s="143"/>
      <c r="DB12" s="143"/>
      <c r="DC12" s="143"/>
      <c r="DD12" s="143"/>
      <c r="DE12" s="143"/>
      <c r="DF12" s="143"/>
      <c r="DG12" s="143"/>
      <c r="DH12" s="143"/>
      <c r="DI12" s="143"/>
      <c r="DJ12" s="143"/>
      <c r="DK12" s="143"/>
      <c r="DL12" s="143"/>
      <c r="DM12" s="143"/>
      <c r="DN12" s="143"/>
      <c r="DO12" s="143"/>
      <c r="DP12" s="143"/>
      <c r="DQ12" s="143"/>
      <c r="DR12" s="143"/>
      <c r="DS12" s="143"/>
      <c r="DT12" s="143"/>
      <c r="DU12" s="143"/>
      <c r="DV12" s="143"/>
      <c r="DW12" s="143"/>
      <c r="DX12" s="143"/>
      <c r="DY12" s="143"/>
      <c r="DZ12" s="143"/>
      <c r="EA12" s="143"/>
      <c r="EB12" s="143"/>
      <c r="EC12" s="143"/>
      <c r="ED12" s="143"/>
      <c r="EE12" s="143"/>
      <c r="EF12" s="143"/>
      <c r="EG12" s="143"/>
      <c r="EH12" s="143"/>
      <c r="EI12" s="143"/>
      <c r="EJ12" s="143"/>
      <c r="EK12" s="143"/>
      <c r="EL12" s="143"/>
      <c r="EM12" s="143"/>
      <c r="EN12" s="143"/>
      <c r="EO12" s="143"/>
      <c r="EP12" s="143"/>
      <c r="EQ12" s="143"/>
      <c r="ER12" s="143"/>
      <c r="ES12" s="143"/>
      <c r="ET12" s="143"/>
      <c r="EU12" s="143"/>
      <c r="EV12" s="143"/>
      <c r="EW12" s="143"/>
      <c r="EX12" s="143"/>
      <c r="EY12" s="143"/>
      <c r="EZ12" s="143"/>
      <c r="FA12" s="143"/>
      <c r="FB12" s="143"/>
      <c r="FC12" s="143"/>
      <c r="FD12" s="143"/>
      <c r="FE12" s="143"/>
      <c r="FF12" s="143"/>
      <c r="FG12" s="143"/>
      <c r="FH12" s="143"/>
      <c r="FI12" s="143"/>
      <c r="FJ12" s="143"/>
      <c r="FK12" s="143"/>
      <c r="FL12" s="143"/>
      <c r="FM12" s="143"/>
      <c r="FN12" s="143"/>
      <c r="FO12" s="143"/>
      <c r="FP12" s="143"/>
      <c r="FQ12" s="143"/>
      <c r="FR12" s="143"/>
      <c r="FS12" s="143"/>
      <c r="FT12" s="143"/>
      <c r="FU12" s="143"/>
      <c r="FV12" s="143"/>
      <c r="FW12" s="143"/>
      <c r="FX12" s="143"/>
      <c r="FY12" s="143"/>
      <c r="FZ12" s="143"/>
      <c r="GA12" s="143"/>
      <c r="GB12" s="143"/>
      <c r="GC12" s="143"/>
      <c r="GD12" s="143"/>
      <c r="GE12" s="143"/>
      <c r="GF12" s="143"/>
      <c r="GG12" s="143"/>
      <c r="GH12" s="143"/>
      <c r="GI12" s="143"/>
      <c r="GJ12" s="143"/>
      <c r="GK12" s="143"/>
      <c r="GL12" s="143"/>
      <c r="GM12" s="143"/>
      <c r="GN12" s="143"/>
      <c r="GO12" s="143"/>
      <c r="GP12" s="143"/>
      <c r="GQ12" s="143"/>
      <c r="GR12" s="143"/>
      <c r="GS12" s="143"/>
      <c r="GT12" s="143"/>
      <c r="GU12" s="143"/>
      <c r="GV12" s="143"/>
      <c r="GW12" s="143"/>
      <c r="GX12" s="143"/>
      <c r="GY12" s="143"/>
      <c r="GZ12" s="143"/>
      <c r="HA12" s="143"/>
      <c r="HB12" s="143"/>
      <c r="HC12" s="143"/>
      <c r="HD12" s="143"/>
      <c r="HE12" s="143"/>
      <c r="HF12" s="143"/>
      <c r="HG12" s="143"/>
      <c r="HH12" s="143"/>
      <c r="HI12" s="143"/>
      <c r="HJ12" s="143"/>
      <c r="HK12" s="143"/>
      <c r="HL12" s="143"/>
      <c r="HM12" s="143"/>
      <c r="HN12" s="143"/>
      <c r="HO12" s="143"/>
      <c r="HP12" s="143"/>
      <c r="HQ12" s="143"/>
      <c r="HR12" s="143"/>
      <c r="HS12" s="143"/>
      <c r="HT12" s="143"/>
      <c r="HU12" s="143"/>
      <c r="HV12" s="143"/>
      <c r="HW12" s="143"/>
      <c r="HX12" s="143"/>
      <c r="HY12" s="143"/>
      <c r="HZ12" s="143"/>
      <c r="IA12" s="143"/>
      <c r="IB12" s="143"/>
      <c r="IC12" s="143"/>
      <c r="ID12" s="143"/>
      <c r="IE12" s="143"/>
      <c r="IF12" s="143"/>
      <c r="IG12" s="143"/>
      <c r="IH12" s="143"/>
      <c r="II12" s="143"/>
      <c r="IJ12" s="143"/>
      <c r="IK12" s="143"/>
      <c r="IL12" s="143"/>
      <c r="IM12" s="143"/>
      <c r="IN12" s="143"/>
      <c r="IO12" s="143"/>
      <c r="IP12" s="143"/>
      <c r="IQ12" s="143"/>
      <c r="IR12" s="143"/>
      <c r="IS12" s="143"/>
      <c r="IT12" s="143"/>
      <c r="IU12" s="143"/>
    </row>
    <row r="13" customFormat="false" ht="28.35" hidden="false" customHeight="false" outlineLevel="0" collapsed="false">
      <c r="A13" s="144" t="s">
        <v>204</v>
      </c>
      <c r="B13" s="145" t="s">
        <v>205</v>
      </c>
      <c r="C13" s="145" t="s">
        <v>206</v>
      </c>
      <c r="D13" s="145" t="s">
        <v>207</v>
      </c>
      <c r="E13" s="145" t="s">
        <v>208</v>
      </c>
      <c r="F13" s="145" t="s">
        <v>209</v>
      </c>
      <c r="G13" s="145" t="s">
        <v>210</v>
      </c>
      <c r="H13" s="145" t="s">
        <v>211</v>
      </c>
      <c r="I13" s="146" t="s">
        <v>212</v>
      </c>
      <c r="J13" s="147" t="s">
        <v>213</v>
      </c>
    </row>
    <row r="14" customFormat="false" ht="10.5" hidden="false" customHeight="false" outlineLevel="0" collapsed="false">
      <c r="A14" s="144" t="s">
        <v>214</v>
      </c>
      <c r="B14" s="145" t="n">
        <v>0</v>
      </c>
      <c r="C14" s="145" t="n">
        <f aca="false">B14+1</f>
        <v>1</v>
      </c>
      <c r="D14" s="145" t="n">
        <f aca="false">C14+1</f>
        <v>2</v>
      </c>
      <c r="E14" s="145" t="n">
        <f aca="false">D14+1</f>
        <v>3</v>
      </c>
      <c r="F14" s="145" t="n">
        <f aca="false">E14+1</f>
        <v>4</v>
      </c>
      <c r="G14" s="145" t="n">
        <f aca="false">F14+1</f>
        <v>5</v>
      </c>
      <c r="H14" s="145" t="n">
        <f aca="false">G14+1</f>
        <v>6</v>
      </c>
      <c r="I14" s="146"/>
      <c r="J14" s="147"/>
    </row>
    <row r="15" customFormat="false" ht="10.5" hidden="false" customHeight="false" outlineLevel="0" collapsed="false">
      <c r="A15" s="148" t="s">
        <v>215</v>
      </c>
      <c r="B15" s="149" t="s">
        <v>216</v>
      </c>
      <c r="C15" s="149" t="s">
        <v>216</v>
      </c>
      <c r="D15" s="149" t="s">
        <v>216</v>
      </c>
      <c r="E15" s="149" t="s">
        <v>216</v>
      </c>
      <c r="F15" s="149" t="s">
        <v>216</v>
      </c>
      <c r="G15" s="149" t="s">
        <v>216</v>
      </c>
      <c r="H15" s="149" t="s">
        <v>216</v>
      </c>
      <c r="I15" s="150"/>
      <c r="J15" s="151"/>
    </row>
    <row r="16" customFormat="false" ht="10.5" hidden="false" customHeight="false" outlineLevel="0" collapsed="false">
      <c r="A16" s="152"/>
      <c r="B16" s="138"/>
      <c r="C16" s="138"/>
      <c r="D16" s="138"/>
      <c r="E16" s="138"/>
      <c r="F16" s="138"/>
      <c r="G16" s="138"/>
      <c r="H16" s="138"/>
      <c r="I16" s="153"/>
      <c r="J16" s="154"/>
    </row>
    <row r="17" customFormat="false" ht="10.5" hidden="false" customHeight="false" outlineLevel="0" collapsed="false">
      <c r="A17" s="152" t="s">
        <v>217</v>
      </c>
      <c r="B17" s="155" t="n">
        <v>457.5</v>
      </c>
      <c r="C17" s="155" t="n">
        <v>327.8</v>
      </c>
      <c r="D17" s="155" t="n">
        <v>428.4</v>
      </c>
      <c r="E17" s="155" t="n">
        <v>478.7</v>
      </c>
      <c r="F17" s="155" t="n">
        <v>519.4</v>
      </c>
      <c r="G17" s="155" t="n">
        <v>580</v>
      </c>
      <c r="H17" s="155" t="n">
        <v>616.7</v>
      </c>
      <c r="I17" s="156" t="n">
        <f aca="false">((H17/E17)^(1/($H$14-E$14)))-1</f>
        <v>0.0881034157959011</v>
      </c>
      <c r="J17" s="157" t="n">
        <f aca="false">((H17/C17)^(1/($H$14-C$14)))-1</f>
        <v>0.134731209584207</v>
      </c>
    </row>
    <row r="18" customFormat="false" ht="10.5" hidden="false" customHeight="false" outlineLevel="0" collapsed="false">
      <c r="A18" s="158" t="s">
        <v>218</v>
      </c>
      <c r="B18" s="159" t="s">
        <v>219</v>
      </c>
      <c r="C18" s="160" t="n">
        <v>-0.283498</v>
      </c>
      <c r="D18" s="160" t="n">
        <v>0.306894</v>
      </c>
      <c r="E18" s="160" t="n">
        <v>0.117413</v>
      </c>
      <c r="F18" s="160" t="n">
        <v>0.085021</v>
      </c>
      <c r="G18" s="160" t="n">
        <v>0.116673</v>
      </c>
      <c r="H18" s="160" t="n">
        <v>0.080602</v>
      </c>
      <c r="I18" s="153"/>
      <c r="J18" s="154"/>
    </row>
    <row r="19" customFormat="false" ht="10.5" hidden="false" customHeight="false" outlineLevel="0" collapsed="false">
      <c r="A19" s="138"/>
      <c r="B19" s="138"/>
      <c r="C19" s="138"/>
      <c r="D19" s="138"/>
      <c r="E19" s="138"/>
      <c r="F19" s="138"/>
      <c r="G19" s="138"/>
      <c r="H19" s="138"/>
      <c r="I19" s="153"/>
      <c r="J19" s="154"/>
    </row>
    <row r="20" customFormat="false" ht="10.5" hidden="false" customHeight="false" outlineLevel="0" collapsed="false">
      <c r="A20" s="152" t="s">
        <v>220</v>
      </c>
      <c r="B20" s="155" t="n">
        <v>95.4</v>
      </c>
      <c r="C20" s="155" t="n">
        <v>68.7</v>
      </c>
      <c r="D20" s="155" t="n">
        <v>102.2</v>
      </c>
      <c r="E20" s="155" t="n">
        <v>110.1</v>
      </c>
      <c r="F20" s="155" t="n">
        <v>121.4</v>
      </c>
      <c r="G20" s="155" t="n">
        <v>138.3</v>
      </c>
      <c r="H20" s="155" t="n">
        <v>145</v>
      </c>
      <c r="I20" s="156" t="n">
        <f aca="false">((H20/E20)^(1/($H$14-E$14)))-1</f>
        <v>0.0961253651338374</v>
      </c>
      <c r="J20" s="157" t="n">
        <f aca="false">((H20/C20)^(1/($H$14-C$14)))-1</f>
        <v>0.161133761781181</v>
      </c>
    </row>
    <row r="21" customFormat="false" ht="10.5" hidden="false" customHeight="false" outlineLevel="0" collapsed="false">
      <c r="A21" s="158" t="s">
        <v>221</v>
      </c>
      <c r="B21" s="160" t="n">
        <v>0.208524</v>
      </c>
      <c r="C21" s="160" t="n">
        <v>0.209579</v>
      </c>
      <c r="D21" s="160" t="n">
        <v>0.238562</v>
      </c>
      <c r="E21" s="160" t="n">
        <v>0.229997</v>
      </c>
      <c r="F21" s="160" t="n">
        <v>0.233731</v>
      </c>
      <c r="G21" s="160" t="n">
        <v>0.238448</v>
      </c>
      <c r="H21" s="160" t="n">
        <v>0.235122</v>
      </c>
      <c r="I21" s="153"/>
      <c r="J21" s="154"/>
    </row>
    <row r="22" customFormat="false" ht="10.5" hidden="false" customHeight="false" outlineLevel="0" collapsed="false">
      <c r="A22" s="138"/>
      <c r="B22" s="138"/>
      <c r="C22" s="138"/>
      <c r="D22" s="138"/>
      <c r="E22" s="138"/>
      <c r="F22" s="138"/>
      <c r="G22" s="138"/>
      <c r="H22" s="138"/>
      <c r="I22" s="153"/>
      <c r="J22" s="154"/>
    </row>
    <row r="23" customFormat="false" ht="10.5" hidden="false" customHeight="false" outlineLevel="0" collapsed="false">
      <c r="A23" s="152" t="s">
        <v>5</v>
      </c>
      <c r="B23" s="155" t="n">
        <v>66.4</v>
      </c>
      <c r="C23" s="155" t="n">
        <v>49.2</v>
      </c>
      <c r="D23" s="155" t="n">
        <v>78.3</v>
      </c>
      <c r="E23" s="155" t="n">
        <v>86.5</v>
      </c>
      <c r="F23" s="155" t="n">
        <v>91.7</v>
      </c>
      <c r="G23" s="155" t="n">
        <v>103.9</v>
      </c>
      <c r="H23" s="155" t="n">
        <v>113</v>
      </c>
      <c r="I23" s="156" t="n">
        <f aca="false">((H23/E23)^(1/($H$14-E$14)))-1</f>
        <v>0.093169346941125</v>
      </c>
      <c r="J23" s="157"/>
    </row>
    <row r="24" customFormat="false" ht="10.5" hidden="false" customHeight="false" outlineLevel="0" collapsed="false">
      <c r="A24" s="158" t="s">
        <v>221</v>
      </c>
      <c r="B24" s="160" t="n">
        <v>0.145136</v>
      </c>
      <c r="C24" s="160" t="n">
        <v>0.150091</v>
      </c>
      <c r="D24" s="160" t="n">
        <v>0.182773</v>
      </c>
      <c r="E24" s="160" t="n">
        <v>0.180697</v>
      </c>
      <c r="F24" s="160" t="n">
        <v>0.176549</v>
      </c>
      <c r="G24" s="160" t="n">
        <v>0.179137</v>
      </c>
      <c r="H24" s="160" t="n">
        <v>0.183233</v>
      </c>
      <c r="I24" s="153"/>
      <c r="J24" s="154"/>
    </row>
    <row r="25" customFormat="false" ht="10.5" hidden="false" customHeight="false" outlineLevel="0" collapsed="false">
      <c r="A25" s="138"/>
      <c r="B25" s="138"/>
      <c r="C25" s="138"/>
      <c r="D25" s="138"/>
      <c r="E25" s="138"/>
      <c r="F25" s="138"/>
      <c r="G25" s="138"/>
      <c r="H25" s="138"/>
      <c r="I25" s="153"/>
      <c r="J25" s="154"/>
    </row>
    <row r="26" customFormat="false" ht="10.5" hidden="false" customHeight="false" outlineLevel="0" collapsed="false">
      <c r="A26" s="152" t="s">
        <v>222</v>
      </c>
      <c r="B26" s="155" t="n">
        <v>48.2</v>
      </c>
      <c r="C26" s="155" t="n">
        <v>31.1</v>
      </c>
      <c r="D26" s="155" t="n">
        <v>62.4</v>
      </c>
      <c r="E26" s="155" t="n">
        <v>64.4</v>
      </c>
      <c r="F26" s="155" t="n">
        <v>59.3</v>
      </c>
      <c r="G26" s="155" t="n">
        <v>69.4</v>
      </c>
      <c r="H26" s="155" t="n">
        <v>74.8</v>
      </c>
      <c r="I26" s="156" t="n">
        <f aca="false">((H26/E26)^(1/($H$14-E$14)))-1</f>
        <v>0.0511674643306899</v>
      </c>
      <c r="J26" s="157" t="n">
        <f aca="false">((H26/C26)^(1/($H$14-C$14)))-1</f>
        <v>0.191868225147292</v>
      </c>
    </row>
    <row r="27" customFormat="false" ht="10.5" hidden="false" customHeight="false" outlineLevel="0" collapsed="false">
      <c r="A27" s="158" t="s">
        <v>221</v>
      </c>
      <c r="B27" s="160" t="n">
        <v>0.105355</v>
      </c>
      <c r="C27" s="160" t="n">
        <v>0.094874</v>
      </c>
      <c r="D27" s="160" t="n">
        <v>0.145658</v>
      </c>
      <c r="E27" s="160" t="n">
        <v>0.134531</v>
      </c>
      <c r="F27" s="160" t="n">
        <v>0.11417</v>
      </c>
      <c r="G27" s="160" t="n">
        <v>0.119655</v>
      </c>
      <c r="H27" s="160" t="n">
        <v>0.12129</v>
      </c>
      <c r="I27" s="153"/>
      <c r="J27" s="154"/>
    </row>
    <row r="28" customFormat="false" ht="10.5" hidden="false" customHeight="false" outlineLevel="0" collapsed="false">
      <c r="A28" s="138"/>
      <c r="B28" s="138"/>
      <c r="C28" s="138"/>
      <c r="D28" s="138"/>
      <c r="E28" s="138"/>
      <c r="F28" s="138"/>
      <c r="G28" s="138"/>
      <c r="H28" s="138"/>
      <c r="I28" s="153"/>
      <c r="J28" s="154"/>
    </row>
    <row r="29" customFormat="false" ht="10.5" hidden="false" customHeight="false" outlineLevel="0" collapsed="false">
      <c r="A29" s="152" t="s">
        <v>223</v>
      </c>
      <c r="B29" s="155" t="n">
        <v>26.2</v>
      </c>
      <c r="C29" s="155" t="n">
        <v>14.5</v>
      </c>
      <c r="D29" s="155" t="n">
        <v>43.5</v>
      </c>
      <c r="E29" s="155" t="n">
        <v>7.4</v>
      </c>
      <c r="F29" s="155" t="n">
        <v>-0.6</v>
      </c>
      <c r="G29" s="155" t="n">
        <v>1.2</v>
      </c>
      <c r="H29" s="155" t="n">
        <v>11</v>
      </c>
      <c r="I29" s="156" t="n">
        <f aca="false">((H29/E29)^(1/($H$14-E$14)))-1</f>
        <v>0.141266287202012</v>
      </c>
      <c r="J29" s="157" t="n">
        <f aca="false">((H29/C29)^(1/($H$14-C$14)))-1</f>
        <v>-0.0537520827839965</v>
      </c>
    </row>
    <row r="30" customFormat="false" ht="10.5" hidden="false" customHeight="false" outlineLevel="0" collapsed="false">
      <c r="A30" s="158" t="s">
        <v>221</v>
      </c>
      <c r="B30" s="160" t="n">
        <v>0.057267</v>
      </c>
      <c r="C30" s="160" t="n">
        <v>0.044234</v>
      </c>
      <c r="D30" s="160" t="n">
        <v>0.10154</v>
      </c>
      <c r="E30" s="160" t="n">
        <v>0.015458</v>
      </c>
      <c r="F30" s="160" t="n">
        <v>-0.001155</v>
      </c>
      <c r="G30" s="160" t="n">
        <v>0.002068</v>
      </c>
      <c r="H30" s="160" t="n">
        <v>0.017836</v>
      </c>
      <c r="I30" s="153"/>
      <c r="J30" s="154"/>
    </row>
    <row r="31" customFormat="false" ht="10.5" hidden="false" customHeight="false" outlineLevel="0" collapsed="false">
      <c r="A31" s="138"/>
      <c r="B31" s="138"/>
      <c r="C31" s="138"/>
      <c r="D31" s="138"/>
      <c r="E31" s="138"/>
      <c r="F31" s="138"/>
      <c r="G31" s="138"/>
      <c r="H31" s="138"/>
      <c r="I31" s="153"/>
      <c r="J31" s="154"/>
    </row>
    <row r="32" customFormat="false" ht="10.5" hidden="false" customHeight="false" outlineLevel="0" collapsed="false">
      <c r="A32" s="152" t="s">
        <v>39</v>
      </c>
      <c r="B32" s="155" t="n">
        <v>25.8</v>
      </c>
      <c r="C32" s="155" t="n">
        <v>14.2</v>
      </c>
      <c r="D32" s="155" t="n">
        <v>43.1</v>
      </c>
      <c r="E32" s="155" t="n">
        <v>7.1</v>
      </c>
      <c r="F32" s="155" t="n">
        <v>-0.9</v>
      </c>
      <c r="G32" s="155" t="n">
        <v>0.8</v>
      </c>
      <c r="H32" s="155" t="n">
        <v>10.5</v>
      </c>
      <c r="I32" s="156" t="n">
        <f aca="false">((H32/E32)^(1/($H$14-E$14)))-1</f>
        <v>0.139314566784323</v>
      </c>
      <c r="J32" s="157" t="n">
        <f aca="false">((H32/C32)^(1/($H$14-C$14)))-1</f>
        <v>-0.0585870005635449</v>
      </c>
    </row>
    <row r="33" customFormat="false" ht="10.5" hidden="false" customHeight="false" outlineLevel="0" collapsed="false">
      <c r="A33" s="158" t="s">
        <v>221</v>
      </c>
      <c r="B33" s="160" t="n">
        <v>0.056393</v>
      </c>
      <c r="C33" s="160" t="n">
        <v>0.043319</v>
      </c>
      <c r="D33" s="160" t="n">
        <v>0.100606</v>
      </c>
      <c r="E33" s="160" t="n">
        <v>0.014831</v>
      </c>
      <c r="F33" s="160" t="n">
        <v>-0.001732</v>
      </c>
      <c r="G33" s="160" t="n">
        <v>0.001379</v>
      </c>
      <c r="H33" s="160" t="n">
        <v>0.017026</v>
      </c>
      <c r="I33" s="153"/>
      <c r="J33" s="154"/>
    </row>
    <row r="34" customFormat="false" ht="10.5" hidden="false" customHeight="false" outlineLevel="0" collapsed="false">
      <c r="A34" s="138"/>
      <c r="B34" s="138"/>
      <c r="C34" s="138"/>
      <c r="D34" s="138"/>
      <c r="E34" s="138"/>
      <c r="F34" s="138"/>
      <c r="G34" s="138"/>
      <c r="H34" s="138"/>
      <c r="I34" s="153"/>
      <c r="J34" s="154"/>
    </row>
    <row r="35" customFormat="false" ht="10.5" hidden="false" customHeight="false" outlineLevel="0" collapsed="false">
      <c r="A35" s="152" t="s">
        <v>224</v>
      </c>
      <c r="B35" s="161" t="s">
        <v>219</v>
      </c>
      <c r="C35" s="161" t="s">
        <v>219</v>
      </c>
      <c r="D35" s="161" t="s">
        <v>219</v>
      </c>
      <c r="E35" s="161" t="n">
        <v>-144.12</v>
      </c>
      <c r="F35" s="161" t="n">
        <v>-6.47</v>
      </c>
      <c r="G35" s="161" t="n">
        <v>4.705882</v>
      </c>
      <c r="H35" s="161" t="n">
        <v>61.764705</v>
      </c>
      <c r="I35" s="156"/>
      <c r="J35" s="157"/>
    </row>
    <row r="36" customFormat="false" ht="10.5" hidden="false" customHeight="false" outlineLevel="0" collapsed="false">
      <c r="A36" s="158" t="s">
        <v>218</v>
      </c>
      <c r="B36" s="159" t="s">
        <v>219</v>
      </c>
      <c r="C36" s="159" t="s">
        <v>219</v>
      </c>
      <c r="D36" s="159" t="s">
        <v>219</v>
      </c>
      <c r="E36" s="159" t="s">
        <v>219</v>
      </c>
      <c r="F36" s="160" t="s">
        <v>225</v>
      </c>
      <c r="G36" s="160" t="s">
        <v>225</v>
      </c>
      <c r="H36" s="160" t="n">
        <v>2</v>
      </c>
      <c r="I36" s="162"/>
      <c r="J36" s="163"/>
    </row>
    <row r="37" customFormat="false" ht="10.5" hidden="false" customHeight="false" outlineLevel="0" collapsed="false">
      <c r="A37" s="138"/>
      <c r="B37" s="138"/>
      <c r="C37" s="138"/>
      <c r="D37" s="138"/>
      <c r="E37" s="138"/>
      <c r="F37" s="138"/>
      <c r="G37" s="138"/>
      <c r="H37" s="138"/>
    </row>
    <row r="38" customFormat="false" ht="10.5" hidden="false" customHeight="false" outlineLevel="0" collapsed="false">
      <c r="A38" s="138"/>
      <c r="B38" s="138"/>
      <c r="C38" s="138"/>
      <c r="D38" s="138"/>
      <c r="E38" s="138"/>
      <c r="F38" s="138"/>
      <c r="G38" s="138"/>
      <c r="H38" s="138"/>
    </row>
    <row r="39" customFormat="false" ht="10.5" hidden="false" customHeight="false" outlineLevel="0" collapsed="false">
      <c r="A39" s="138"/>
      <c r="B39" s="138"/>
      <c r="C39" s="138"/>
      <c r="D39" s="138"/>
      <c r="E39" s="138"/>
      <c r="F39" s="138"/>
      <c r="G39" s="138"/>
      <c r="H39" s="138"/>
    </row>
    <row r="40" customFormat="false" ht="10.5" hidden="false" customHeight="false" outlineLevel="0" collapsed="false">
      <c r="A40" s="164"/>
      <c r="B40" s="164"/>
      <c r="C40" s="164"/>
      <c r="D40" s="164"/>
      <c r="E40" s="164"/>
      <c r="F40" s="164"/>
      <c r="G40" s="164"/>
      <c r="H40" s="164"/>
    </row>
    <row r="41" customFormat="false" ht="10.5" hidden="false" customHeight="false" outlineLevel="0" collapsed="false">
      <c r="A41" s="134" t="s">
        <v>226</v>
      </c>
    </row>
    <row r="42" customFormat="false" ht="10.5" hidden="false" customHeight="false" outlineLevel="0" collapsed="false">
      <c r="A42" s="134" t="s">
        <v>227</v>
      </c>
    </row>
    <row r="45" customFormat="false" ht="10.5" hidden="false" customHeight="false" outlineLevel="0" collapsed="false">
      <c r="A45" s="140" t="s">
        <v>228</v>
      </c>
      <c r="B45" s="140"/>
      <c r="I45" s="143"/>
      <c r="J45" s="143"/>
      <c r="K45" s="143"/>
      <c r="L45" s="143"/>
      <c r="M45" s="143"/>
      <c r="N45" s="143"/>
      <c r="O45" s="143"/>
      <c r="P45" s="143"/>
      <c r="Q45" s="143"/>
      <c r="R45" s="143"/>
      <c r="S45" s="143"/>
      <c r="T45" s="143"/>
      <c r="U45" s="143"/>
      <c r="V45" s="143"/>
      <c r="W45" s="143"/>
      <c r="X45" s="143"/>
      <c r="Y45" s="143"/>
      <c r="Z45" s="143"/>
      <c r="AA45" s="143"/>
      <c r="AB45" s="143"/>
      <c r="AC45" s="143"/>
      <c r="AD45" s="143"/>
      <c r="AE45" s="143"/>
      <c r="AF45" s="143"/>
      <c r="AG45" s="143"/>
      <c r="AH45" s="143"/>
      <c r="AI45" s="143"/>
      <c r="AJ45" s="143"/>
      <c r="AK45" s="143"/>
      <c r="AL45" s="143"/>
      <c r="AM45" s="143"/>
      <c r="AN45" s="143"/>
      <c r="AO45" s="143"/>
      <c r="AP45" s="143"/>
      <c r="AQ45" s="143"/>
      <c r="AR45" s="143"/>
      <c r="AS45" s="143"/>
      <c r="AT45" s="143"/>
      <c r="AU45" s="143"/>
      <c r="AV45" s="143"/>
      <c r="AW45" s="143"/>
      <c r="AX45" s="143"/>
      <c r="AY45" s="143"/>
      <c r="AZ45" s="143"/>
      <c r="BA45" s="143"/>
      <c r="BB45" s="143"/>
      <c r="BC45" s="143"/>
      <c r="BD45" s="143"/>
      <c r="BE45" s="143"/>
      <c r="BF45" s="143"/>
      <c r="BG45" s="143"/>
      <c r="BH45" s="143"/>
      <c r="BI45" s="143"/>
      <c r="BJ45" s="143"/>
      <c r="BK45" s="143"/>
      <c r="BL45" s="143"/>
      <c r="BM45" s="143"/>
      <c r="BN45" s="143"/>
      <c r="BO45" s="143"/>
      <c r="BP45" s="143"/>
      <c r="BQ45" s="143"/>
      <c r="BR45" s="143"/>
      <c r="BS45" s="143"/>
      <c r="BT45" s="143"/>
      <c r="BU45" s="143"/>
      <c r="BV45" s="143"/>
      <c r="BW45" s="143"/>
      <c r="BX45" s="143"/>
      <c r="BY45" s="143"/>
      <c r="BZ45" s="143"/>
      <c r="CA45" s="143"/>
      <c r="CB45" s="143"/>
      <c r="CC45" s="143"/>
      <c r="CD45" s="143"/>
      <c r="CE45" s="143"/>
      <c r="CF45" s="143"/>
      <c r="CG45" s="143"/>
      <c r="CH45" s="143"/>
      <c r="CI45" s="143"/>
      <c r="CJ45" s="143"/>
      <c r="CK45" s="143"/>
      <c r="CL45" s="143"/>
      <c r="CM45" s="143"/>
      <c r="CN45" s="143"/>
      <c r="CO45" s="143"/>
      <c r="CP45" s="143"/>
      <c r="CQ45" s="143"/>
      <c r="CR45" s="143"/>
      <c r="CS45" s="143"/>
      <c r="CT45" s="143"/>
      <c r="CU45" s="143"/>
      <c r="CV45" s="143"/>
      <c r="CW45" s="143"/>
      <c r="CX45" s="143"/>
      <c r="CY45" s="143"/>
      <c r="CZ45" s="143"/>
      <c r="DA45" s="143"/>
      <c r="DB45" s="143"/>
      <c r="DC45" s="143"/>
      <c r="DD45" s="143"/>
      <c r="DE45" s="143"/>
      <c r="DF45" s="143"/>
      <c r="DG45" s="143"/>
      <c r="DH45" s="143"/>
      <c r="DI45" s="143"/>
      <c r="DJ45" s="143"/>
      <c r="DK45" s="143"/>
      <c r="DL45" s="143"/>
      <c r="DM45" s="143"/>
      <c r="DN45" s="143"/>
      <c r="DO45" s="143"/>
      <c r="DP45" s="143"/>
      <c r="DQ45" s="143"/>
      <c r="DR45" s="143"/>
      <c r="DS45" s="143"/>
      <c r="DT45" s="143"/>
      <c r="DU45" s="143"/>
      <c r="DV45" s="143"/>
      <c r="DW45" s="143"/>
      <c r="DX45" s="143"/>
      <c r="DY45" s="143"/>
      <c r="DZ45" s="143"/>
      <c r="EA45" s="143"/>
      <c r="EB45" s="143"/>
      <c r="EC45" s="143"/>
      <c r="ED45" s="143"/>
      <c r="EE45" s="143"/>
      <c r="EF45" s="143"/>
      <c r="EG45" s="143"/>
      <c r="EH45" s="143"/>
      <c r="EI45" s="143"/>
      <c r="EJ45" s="143"/>
      <c r="EK45" s="143"/>
      <c r="EL45" s="143"/>
      <c r="EM45" s="143"/>
      <c r="EN45" s="143"/>
      <c r="EO45" s="143"/>
      <c r="EP45" s="143"/>
      <c r="EQ45" s="143"/>
      <c r="ER45" s="143"/>
      <c r="ES45" s="143"/>
      <c r="ET45" s="143"/>
      <c r="EU45" s="143"/>
      <c r="EV45" s="143"/>
      <c r="EW45" s="143"/>
      <c r="EX45" s="143"/>
      <c r="EY45" s="143"/>
      <c r="EZ45" s="143"/>
      <c r="FA45" s="143"/>
      <c r="FB45" s="143"/>
      <c r="FC45" s="143"/>
      <c r="FD45" s="143"/>
      <c r="FE45" s="143"/>
      <c r="FF45" s="143"/>
      <c r="FG45" s="143"/>
      <c r="FH45" s="143"/>
      <c r="FI45" s="143"/>
      <c r="FJ45" s="143"/>
      <c r="FK45" s="143"/>
      <c r="FL45" s="143"/>
      <c r="FM45" s="143"/>
      <c r="FN45" s="143"/>
      <c r="FO45" s="143"/>
      <c r="FP45" s="143"/>
      <c r="FQ45" s="143"/>
      <c r="FR45" s="143"/>
      <c r="FS45" s="143"/>
      <c r="FT45" s="143"/>
      <c r="FU45" s="143"/>
      <c r="FV45" s="143"/>
      <c r="FW45" s="143"/>
      <c r="FX45" s="143"/>
      <c r="FY45" s="143"/>
      <c r="FZ45" s="143"/>
      <c r="GA45" s="143"/>
      <c r="GB45" s="143"/>
      <c r="GC45" s="143"/>
      <c r="GD45" s="143"/>
      <c r="GE45" s="143"/>
      <c r="GF45" s="143"/>
      <c r="GG45" s="143"/>
      <c r="GH45" s="143"/>
      <c r="GI45" s="143"/>
      <c r="GJ45" s="143"/>
      <c r="GK45" s="143"/>
      <c r="GL45" s="143"/>
      <c r="GM45" s="143"/>
      <c r="GN45" s="143"/>
      <c r="GO45" s="143"/>
      <c r="GP45" s="143"/>
      <c r="GQ45" s="143"/>
      <c r="GR45" s="143"/>
      <c r="GS45" s="143"/>
      <c r="GT45" s="143"/>
      <c r="GU45" s="143"/>
      <c r="GV45" s="143"/>
      <c r="GW45" s="143"/>
      <c r="GX45" s="143"/>
      <c r="GY45" s="143"/>
      <c r="GZ45" s="143"/>
      <c r="HA45" s="143"/>
      <c r="HB45" s="143"/>
      <c r="HC45" s="143"/>
      <c r="HD45" s="143"/>
      <c r="HE45" s="143"/>
      <c r="HF45" s="143"/>
      <c r="HG45" s="143"/>
      <c r="HH45" s="143"/>
      <c r="HI45" s="143"/>
      <c r="HJ45" s="143"/>
      <c r="HK45" s="143"/>
      <c r="HL45" s="143"/>
      <c r="HM45" s="143"/>
      <c r="HN45" s="143"/>
      <c r="HO45" s="143"/>
      <c r="HP45" s="143"/>
      <c r="HQ45" s="143"/>
      <c r="HR45" s="143"/>
      <c r="HS45" s="143"/>
      <c r="HT45" s="143"/>
      <c r="HU45" s="143"/>
      <c r="HV45" s="143"/>
      <c r="HW45" s="143"/>
      <c r="HX45" s="143"/>
      <c r="HY45" s="143"/>
      <c r="HZ45" s="143"/>
      <c r="IA45" s="143"/>
      <c r="IB45" s="143"/>
      <c r="IC45" s="143"/>
      <c r="ID45" s="143"/>
      <c r="IE45" s="143"/>
      <c r="IF45" s="143"/>
      <c r="IG45" s="143"/>
      <c r="IH45" s="143"/>
      <c r="II45" s="143"/>
      <c r="IJ45" s="143"/>
      <c r="IK45" s="143"/>
      <c r="IL45" s="143"/>
      <c r="IM45" s="143"/>
      <c r="IN45" s="143"/>
      <c r="IO45" s="143"/>
      <c r="IP45" s="143"/>
      <c r="IQ45" s="143"/>
      <c r="IR45" s="143"/>
      <c r="IS45" s="143"/>
      <c r="IT45" s="143"/>
      <c r="IU45" s="143"/>
    </row>
    <row r="46" customFormat="false" ht="10.5" hidden="false" customHeight="false" outlineLevel="0" collapsed="false">
      <c r="A46" s="165" t="s">
        <v>215</v>
      </c>
      <c r="B46" s="166" t="s">
        <v>216</v>
      </c>
    </row>
    <row r="47" customFormat="false" ht="10.5" hidden="false" customHeight="false" outlineLevel="0" collapsed="false">
      <c r="A47" s="138" t="s">
        <v>229</v>
      </c>
      <c r="B47" s="167" t="s">
        <v>230</v>
      </c>
    </row>
    <row r="48" customFormat="false" ht="10.5" hidden="false" customHeight="false" outlineLevel="0" collapsed="false">
      <c r="A48" s="138" t="s">
        <v>231</v>
      </c>
      <c r="B48" s="168" t="s">
        <v>230</v>
      </c>
    </row>
    <row r="49" customFormat="false" ht="10.5" hidden="false" customHeight="false" outlineLevel="0" collapsed="false">
      <c r="A49" s="138"/>
      <c r="B49" s="138"/>
    </row>
    <row r="50" customFormat="false" ht="10.5" hidden="false" customHeight="false" outlineLevel="0" collapsed="false">
      <c r="A50" s="152" t="s">
        <v>232</v>
      </c>
      <c r="B50" s="155" t="s">
        <v>230</v>
      </c>
    </row>
    <row r="51" customFormat="false" ht="10.5" hidden="false" customHeight="false" outlineLevel="0" collapsed="false">
      <c r="A51" s="138" t="s">
        <v>233</v>
      </c>
      <c r="B51" s="168" t="n">
        <v>40.3</v>
      </c>
    </row>
    <row r="52" customFormat="false" ht="10.5" hidden="false" customHeight="false" outlineLevel="0" collapsed="false">
      <c r="A52" s="138" t="s">
        <v>234</v>
      </c>
      <c r="B52" s="168" t="n">
        <v>486</v>
      </c>
      <c r="C52" s="134" t="n">
        <f aca="false">B52/H23</f>
        <v>4.30088495575221</v>
      </c>
    </row>
    <row r="53" customFormat="false" ht="10.5" hidden="false" customHeight="false" outlineLevel="0" collapsed="false">
      <c r="A53" s="138" t="s">
        <v>235</v>
      </c>
      <c r="B53" s="168" t="s">
        <v>230</v>
      </c>
    </row>
    <row r="54" customFormat="false" ht="10.5" hidden="false" customHeight="false" outlineLevel="0" collapsed="false">
      <c r="A54" s="138" t="s">
        <v>236</v>
      </c>
      <c r="B54" s="168" t="n">
        <v>4.2</v>
      </c>
    </row>
    <row r="55" customFormat="false" ht="10.5" hidden="false" customHeight="false" outlineLevel="0" collapsed="false">
      <c r="A55" s="138" t="s">
        <v>237</v>
      </c>
      <c r="B55" s="168" t="s">
        <v>230</v>
      </c>
    </row>
    <row r="56" customFormat="false" ht="10.5" hidden="false" customHeight="false" outlineLevel="0" collapsed="false">
      <c r="A56" s="152" t="s">
        <v>238</v>
      </c>
      <c r="B56" s="169" t="s">
        <v>230</v>
      </c>
    </row>
    <row r="57" customFormat="false" ht="10.5" hidden="false" customHeight="false" outlineLevel="0" collapsed="false">
      <c r="A57" s="138"/>
      <c r="B57" s="138"/>
    </row>
    <row r="58" customFormat="false" ht="10.5" hidden="false" customHeight="false" outlineLevel="0" collapsed="false">
      <c r="A58" s="138" t="s">
        <v>239</v>
      </c>
      <c r="B58" s="168" t="n">
        <v>120.7</v>
      </c>
    </row>
    <row r="59" customFormat="false" ht="10.5" hidden="false" customHeight="false" outlineLevel="0" collapsed="false">
      <c r="A59" s="138" t="s">
        <v>235</v>
      </c>
      <c r="B59" s="168" t="s">
        <v>230</v>
      </c>
    </row>
    <row r="60" customFormat="false" ht="10.5" hidden="false" customHeight="false" outlineLevel="0" collapsed="false">
      <c r="A60" s="138" t="s">
        <v>236</v>
      </c>
      <c r="B60" s="168" t="n">
        <v>4.2</v>
      </c>
    </row>
    <row r="61" customFormat="false" ht="10.5" hidden="false" customHeight="false" outlineLevel="0" collapsed="false">
      <c r="A61" s="138" t="s">
        <v>234</v>
      </c>
      <c r="B61" s="168" t="n">
        <v>486</v>
      </c>
    </row>
    <row r="62" customFormat="false" ht="10.5" hidden="false" customHeight="false" outlineLevel="0" collapsed="false">
      <c r="A62" s="152" t="s">
        <v>240</v>
      </c>
      <c r="B62" s="155" t="n">
        <v>610.9</v>
      </c>
    </row>
    <row r="63" customFormat="false" ht="10.5" hidden="false" customHeight="false" outlineLevel="0" collapsed="false">
      <c r="A63" s="138"/>
      <c r="B63" s="138"/>
    </row>
    <row r="64" customFormat="false" ht="46.25" hidden="false" customHeight="false" outlineLevel="0" collapsed="false">
      <c r="A64" s="164" t="s">
        <v>241</v>
      </c>
      <c r="B64" s="164"/>
    </row>
    <row r="66" customFormat="false" ht="199.5" hidden="false" customHeight="true" outlineLevel="0" collapsed="false">
      <c r="A66" s="170"/>
    </row>
    <row r="68" customFormat="false" ht="10.5" hidden="false" customHeight="false" outlineLevel="0" collapsed="false">
      <c r="A68" s="134" t="s">
        <v>242</v>
      </c>
    </row>
    <row r="69" customFormat="false" ht="10.5" hidden="false" customHeight="false" outlineLevel="0" collapsed="false">
      <c r="A69" s="134" t="s">
        <v>243</v>
      </c>
    </row>
    <row r="70" customFormat="false" ht="10.5" hidden="false" customHeight="false" outlineLevel="0" collapsed="false">
      <c r="A70" s="134" t="s">
        <v>244</v>
      </c>
    </row>
    <row r="71" customFormat="false" ht="10.5" hidden="false" customHeight="false" outlineLevel="0" collapsed="false">
      <c r="A71" s="134" t="s">
        <v>245</v>
      </c>
    </row>
    <row r="73" customFormat="false" ht="10.5" hidden="false" customHeight="false" outlineLevel="0" collapsed="false">
      <c r="A73" s="140" t="s">
        <v>246</v>
      </c>
      <c r="B73" s="140"/>
      <c r="C73" s="140"/>
      <c r="D73" s="140"/>
      <c r="E73" s="140"/>
      <c r="F73" s="140"/>
      <c r="I73" s="143"/>
      <c r="J73" s="143"/>
      <c r="K73" s="143"/>
      <c r="L73" s="143"/>
      <c r="M73" s="143"/>
      <c r="N73" s="143"/>
      <c r="O73" s="143"/>
      <c r="P73" s="143"/>
      <c r="Q73" s="143"/>
      <c r="R73" s="143"/>
      <c r="S73" s="143"/>
      <c r="T73" s="143"/>
      <c r="U73" s="143"/>
      <c r="V73" s="143"/>
      <c r="W73" s="143"/>
      <c r="X73" s="143"/>
      <c r="Y73" s="143"/>
      <c r="Z73" s="143"/>
      <c r="AA73" s="143"/>
      <c r="AB73" s="143"/>
      <c r="AC73" s="143"/>
      <c r="AD73" s="143"/>
      <c r="AE73" s="143"/>
      <c r="AF73" s="143"/>
      <c r="AG73" s="143"/>
      <c r="AH73" s="143"/>
      <c r="AI73" s="143"/>
      <c r="AJ73" s="143"/>
      <c r="AK73" s="143"/>
      <c r="AL73" s="143"/>
      <c r="AM73" s="143"/>
      <c r="AN73" s="143"/>
      <c r="AO73" s="143"/>
      <c r="AP73" s="143"/>
      <c r="AQ73" s="143"/>
      <c r="AR73" s="143"/>
      <c r="AS73" s="143"/>
      <c r="AT73" s="143"/>
      <c r="AU73" s="143"/>
      <c r="AV73" s="143"/>
      <c r="AW73" s="143"/>
      <c r="AX73" s="143"/>
      <c r="AY73" s="143"/>
      <c r="AZ73" s="143"/>
      <c r="BA73" s="143"/>
      <c r="BB73" s="143"/>
      <c r="BC73" s="143"/>
      <c r="BD73" s="143"/>
      <c r="BE73" s="143"/>
      <c r="BF73" s="143"/>
      <c r="BG73" s="143"/>
      <c r="BH73" s="143"/>
      <c r="BI73" s="143"/>
      <c r="BJ73" s="143"/>
      <c r="BK73" s="143"/>
      <c r="BL73" s="143"/>
      <c r="BM73" s="143"/>
      <c r="BN73" s="143"/>
      <c r="BO73" s="143"/>
      <c r="BP73" s="143"/>
      <c r="BQ73" s="143"/>
      <c r="BR73" s="143"/>
      <c r="BS73" s="143"/>
      <c r="BT73" s="143"/>
      <c r="BU73" s="143"/>
      <c r="BV73" s="143"/>
      <c r="BW73" s="143"/>
      <c r="BX73" s="143"/>
      <c r="BY73" s="143"/>
      <c r="BZ73" s="143"/>
      <c r="CA73" s="143"/>
      <c r="CB73" s="143"/>
      <c r="CC73" s="143"/>
      <c r="CD73" s="143"/>
      <c r="CE73" s="143"/>
      <c r="CF73" s="143"/>
      <c r="CG73" s="143"/>
      <c r="CH73" s="143"/>
      <c r="CI73" s="143"/>
      <c r="CJ73" s="143"/>
      <c r="CK73" s="143"/>
      <c r="CL73" s="143"/>
      <c r="CM73" s="143"/>
      <c r="CN73" s="143"/>
      <c r="CO73" s="143"/>
      <c r="CP73" s="143"/>
      <c r="CQ73" s="143"/>
      <c r="CR73" s="143"/>
      <c r="CS73" s="143"/>
      <c r="CT73" s="143"/>
      <c r="CU73" s="143"/>
      <c r="CV73" s="143"/>
      <c r="CW73" s="143"/>
      <c r="CX73" s="143"/>
      <c r="CY73" s="143"/>
      <c r="CZ73" s="143"/>
      <c r="DA73" s="143"/>
      <c r="DB73" s="143"/>
      <c r="DC73" s="143"/>
      <c r="DD73" s="143"/>
      <c r="DE73" s="143"/>
      <c r="DF73" s="143"/>
      <c r="DG73" s="143"/>
      <c r="DH73" s="143"/>
      <c r="DI73" s="143"/>
      <c r="DJ73" s="143"/>
      <c r="DK73" s="143"/>
      <c r="DL73" s="143"/>
      <c r="DM73" s="143"/>
      <c r="DN73" s="143"/>
      <c r="DO73" s="143"/>
      <c r="DP73" s="143"/>
      <c r="DQ73" s="143"/>
      <c r="DR73" s="143"/>
      <c r="DS73" s="143"/>
      <c r="DT73" s="143"/>
      <c r="DU73" s="143"/>
      <c r="DV73" s="143"/>
      <c r="DW73" s="143"/>
      <c r="DX73" s="143"/>
      <c r="DY73" s="143"/>
      <c r="DZ73" s="143"/>
      <c r="EA73" s="143"/>
      <c r="EB73" s="143"/>
      <c r="EC73" s="143"/>
      <c r="ED73" s="143"/>
      <c r="EE73" s="143"/>
      <c r="EF73" s="143"/>
      <c r="EG73" s="143"/>
      <c r="EH73" s="143"/>
      <c r="EI73" s="143"/>
      <c r="EJ73" s="143"/>
      <c r="EK73" s="143"/>
      <c r="EL73" s="143"/>
      <c r="EM73" s="143"/>
      <c r="EN73" s="143"/>
      <c r="EO73" s="143"/>
      <c r="EP73" s="143"/>
      <c r="EQ73" s="143"/>
      <c r="ER73" s="143"/>
      <c r="ES73" s="143"/>
      <c r="ET73" s="143"/>
      <c r="EU73" s="143"/>
      <c r="EV73" s="143"/>
      <c r="EW73" s="143"/>
      <c r="EX73" s="143"/>
      <c r="EY73" s="143"/>
      <c r="EZ73" s="143"/>
      <c r="FA73" s="143"/>
      <c r="FB73" s="143"/>
      <c r="FC73" s="143"/>
      <c r="FD73" s="143"/>
      <c r="FE73" s="143"/>
      <c r="FF73" s="143"/>
      <c r="FG73" s="143"/>
      <c r="FH73" s="143"/>
      <c r="FI73" s="143"/>
      <c r="FJ73" s="143"/>
      <c r="FK73" s="143"/>
      <c r="FL73" s="143"/>
      <c r="FM73" s="143"/>
      <c r="FN73" s="143"/>
      <c r="FO73" s="143"/>
      <c r="FP73" s="143"/>
      <c r="FQ73" s="143"/>
      <c r="FR73" s="143"/>
      <c r="FS73" s="143"/>
      <c r="FT73" s="143"/>
      <c r="FU73" s="143"/>
      <c r="FV73" s="143"/>
      <c r="FW73" s="143"/>
      <c r="FX73" s="143"/>
      <c r="FY73" s="143"/>
      <c r="FZ73" s="143"/>
      <c r="GA73" s="143"/>
      <c r="GB73" s="143"/>
      <c r="GC73" s="143"/>
      <c r="GD73" s="143"/>
      <c r="GE73" s="143"/>
      <c r="GF73" s="143"/>
      <c r="GG73" s="143"/>
      <c r="GH73" s="143"/>
      <c r="GI73" s="143"/>
      <c r="GJ73" s="143"/>
      <c r="GK73" s="143"/>
      <c r="GL73" s="143"/>
      <c r="GM73" s="143"/>
      <c r="GN73" s="143"/>
      <c r="GO73" s="143"/>
      <c r="GP73" s="143"/>
      <c r="GQ73" s="143"/>
      <c r="GR73" s="143"/>
      <c r="GS73" s="143"/>
      <c r="GT73" s="143"/>
      <c r="GU73" s="143"/>
      <c r="GV73" s="143"/>
      <c r="GW73" s="143"/>
      <c r="GX73" s="143"/>
      <c r="GY73" s="143"/>
      <c r="GZ73" s="143"/>
      <c r="HA73" s="143"/>
      <c r="HB73" s="143"/>
      <c r="HC73" s="143"/>
      <c r="HD73" s="143"/>
      <c r="HE73" s="143"/>
      <c r="HF73" s="143"/>
      <c r="HG73" s="143"/>
      <c r="HH73" s="143"/>
      <c r="HI73" s="143"/>
      <c r="HJ73" s="143"/>
      <c r="HK73" s="143"/>
      <c r="HL73" s="143"/>
      <c r="HM73" s="143"/>
      <c r="HN73" s="143"/>
      <c r="HO73" s="143"/>
      <c r="HP73" s="143"/>
      <c r="HQ73" s="143"/>
      <c r="HR73" s="143"/>
      <c r="HS73" s="143"/>
      <c r="HT73" s="143"/>
      <c r="HU73" s="143"/>
      <c r="HV73" s="143"/>
      <c r="HW73" s="143"/>
      <c r="HX73" s="143"/>
      <c r="HY73" s="143"/>
      <c r="HZ73" s="143"/>
      <c r="IA73" s="143"/>
      <c r="IB73" s="143"/>
      <c r="IC73" s="143"/>
      <c r="ID73" s="143"/>
      <c r="IE73" s="143"/>
      <c r="IF73" s="143"/>
      <c r="IG73" s="143"/>
      <c r="IH73" s="143"/>
      <c r="II73" s="143"/>
      <c r="IJ73" s="143"/>
      <c r="IK73" s="143"/>
      <c r="IL73" s="143"/>
      <c r="IM73" s="143"/>
      <c r="IN73" s="143"/>
      <c r="IO73" s="143"/>
      <c r="IP73" s="143"/>
      <c r="IQ73" s="143"/>
      <c r="IR73" s="143"/>
      <c r="IS73" s="143"/>
      <c r="IT73" s="143"/>
      <c r="IU73" s="143"/>
    </row>
    <row r="74" customFormat="false" ht="28.35" hidden="false" customHeight="false" outlineLevel="0" collapsed="false">
      <c r="A74" s="171" t="s">
        <v>204</v>
      </c>
      <c r="B74" s="172" t="s">
        <v>207</v>
      </c>
      <c r="C74" s="172" t="s">
        <v>208</v>
      </c>
      <c r="D74" s="172" t="s">
        <v>209</v>
      </c>
      <c r="E74" s="172" t="s">
        <v>210</v>
      </c>
      <c r="F74" s="172" t="s">
        <v>247</v>
      </c>
    </row>
    <row r="75" customFormat="false" ht="10.5" hidden="false" customHeight="false" outlineLevel="0" collapsed="false">
      <c r="A75" s="152" t="s">
        <v>248</v>
      </c>
      <c r="B75" s="173" t="s">
        <v>230</v>
      </c>
      <c r="C75" s="173" t="s">
        <v>230</v>
      </c>
      <c r="D75" s="173" t="s">
        <v>230</v>
      </c>
      <c r="E75" s="173" t="s">
        <v>230</v>
      </c>
      <c r="F75" s="173" t="s">
        <v>230</v>
      </c>
    </row>
    <row r="76" customFormat="false" ht="10.5" hidden="false" customHeight="false" outlineLevel="0" collapsed="false">
      <c r="A76" s="138"/>
      <c r="B76" s="138"/>
      <c r="C76" s="138"/>
      <c r="D76" s="138"/>
      <c r="E76" s="138"/>
      <c r="F76" s="138"/>
    </row>
    <row r="77" customFormat="false" ht="10.5" hidden="false" customHeight="false" outlineLevel="0" collapsed="false">
      <c r="A77" s="152" t="s">
        <v>249</v>
      </c>
      <c r="B77" s="173" t="s">
        <v>230</v>
      </c>
      <c r="C77" s="173" t="s">
        <v>230</v>
      </c>
      <c r="D77" s="173" t="s">
        <v>230</v>
      </c>
      <c r="E77" s="173" t="s">
        <v>230</v>
      </c>
      <c r="F77" s="173" t="s">
        <v>230</v>
      </c>
    </row>
    <row r="78" customFormat="false" ht="10.5" hidden="false" customHeight="false" outlineLevel="0" collapsed="false">
      <c r="A78" s="138"/>
      <c r="B78" s="138"/>
      <c r="C78" s="138"/>
      <c r="D78" s="138"/>
      <c r="E78" s="138"/>
      <c r="F78" s="138"/>
    </row>
    <row r="79" customFormat="false" ht="10.5" hidden="false" customHeight="false" outlineLevel="0" collapsed="false">
      <c r="A79" s="152" t="s">
        <v>250</v>
      </c>
      <c r="B79" s="173" t="s">
        <v>230</v>
      </c>
      <c r="C79" s="173" t="s">
        <v>230</v>
      </c>
      <c r="D79" s="173" t="s">
        <v>230</v>
      </c>
      <c r="E79" s="173" t="s">
        <v>230</v>
      </c>
      <c r="F79" s="173" t="s">
        <v>230</v>
      </c>
    </row>
    <row r="80" customFormat="false" ht="10.5" hidden="false" customHeight="false" outlineLevel="0" collapsed="false">
      <c r="A80" s="138"/>
      <c r="B80" s="138"/>
      <c r="C80" s="138"/>
      <c r="D80" s="138"/>
      <c r="E80" s="138"/>
      <c r="F80" s="138"/>
    </row>
    <row r="81" customFormat="false" ht="10.5" hidden="false" customHeight="false" outlineLevel="0" collapsed="false">
      <c r="A81" s="152" t="s">
        <v>251</v>
      </c>
      <c r="B81" s="173" t="s">
        <v>230</v>
      </c>
      <c r="C81" s="173" t="s">
        <v>230</v>
      </c>
      <c r="D81" s="173" t="s">
        <v>230</v>
      </c>
      <c r="E81" s="173" t="s">
        <v>230</v>
      </c>
      <c r="F81" s="173" t="s">
        <v>230</v>
      </c>
    </row>
    <row r="82" customFormat="false" ht="10.5" hidden="false" customHeight="false" outlineLevel="0" collapsed="false">
      <c r="A82" s="138"/>
      <c r="B82" s="138"/>
      <c r="C82" s="138"/>
      <c r="D82" s="138"/>
      <c r="E82" s="138"/>
      <c r="F82" s="138"/>
    </row>
    <row r="83" customFormat="false" ht="10.5" hidden="false" customHeight="false" outlineLevel="0" collapsed="false">
      <c r="A83" s="152" t="s">
        <v>252</v>
      </c>
      <c r="B83" s="173" t="s">
        <v>230</v>
      </c>
      <c r="C83" s="173" t="s">
        <v>230</v>
      </c>
      <c r="D83" s="173" t="s">
        <v>230</v>
      </c>
      <c r="E83" s="173" t="s">
        <v>230</v>
      </c>
      <c r="F83" s="173" t="s">
        <v>230</v>
      </c>
    </row>
    <row r="84" customFormat="false" ht="10.5" hidden="false" customHeight="false" outlineLevel="0" collapsed="false">
      <c r="A84" s="138"/>
      <c r="B84" s="138"/>
      <c r="C84" s="138"/>
      <c r="D84" s="138"/>
      <c r="E84" s="138"/>
      <c r="F84" s="138"/>
    </row>
    <row r="85" customFormat="false" ht="10.5" hidden="false" customHeight="false" outlineLevel="0" collapsed="false">
      <c r="A85" s="152" t="s">
        <v>253</v>
      </c>
      <c r="B85" s="173" t="s">
        <v>230</v>
      </c>
      <c r="C85" s="173" t="s">
        <v>230</v>
      </c>
      <c r="D85" s="173" t="s">
        <v>230</v>
      </c>
      <c r="E85" s="173" t="s">
        <v>230</v>
      </c>
      <c r="F85" s="173" t="s">
        <v>230</v>
      </c>
    </row>
    <row r="86" customFormat="false" ht="10.5" hidden="false" customHeight="false" outlineLevel="0" collapsed="false">
      <c r="A86" s="138"/>
      <c r="B86" s="138"/>
      <c r="C86" s="138"/>
      <c r="D86" s="138"/>
      <c r="E86" s="138"/>
      <c r="F86" s="138"/>
    </row>
    <row r="87" customFormat="false" ht="10.5" hidden="false" customHeight="false" outlineLevel="0" collapsed="false">
      <c r="A87" s="164"/>
      <c r="B87" s="164"/>
      <c r="C87" s="164"/>
      <c r="D87" s="164"/>
      <c r="E87" s="164"/>
      <c r="F87" s="164"/>
    </row>
    <row r="88" customFormat="false" ht="55.2" hidden="false" customHeight="false" outlineLevel="0" collapsed="false">
      <c r="A88" s="174" t="s">
        <v>254</v>
      </c>
    </row>
  </sheetData>
  <printOptions headings="false" gridLines="false" gridLinesSet="true" horizontalCentered="false" verticalCentered="false"/>
  <pageMargins left="0.2" right="0.2" top="0.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false"/>
  </sheetPr>
  <dimension ref="A5:IU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3" activeCellId="0" sqref="G3"/>
    </sheetView>
  </sheetViews>
  <sheetFormatPr defaultColWidth="8.83203125" defaultRowHeight="10.5" zeroHeight="false" outlineLevelRow="0" outlineLevelCol="0"/>
  <cols>
    <col collapsed="false" customWidth="true" hidden="false" outlineLevel="0" max="1" min="1" style="134" width="45.83"/>
    <col collapsed="false" customWidth="true" hidden="false" outlineLevel="0" max="7" min="2" style="134" width="14.83"/>
    <col collapsed="false" customWidth="false" hidden="false" outlineLevel="0" max="256" min="8" style="134" width="8.83"/>
    <col collapsed="false" customWidth="true" hidden="false" outlineLevel="0" max="257" min="257" style="134" width="45.83"/>
    <col collapsed="false" customWidth="true" hidden="false" outlineLevel="0" max="263" min="258" style="134" width="14.83"/>
    <col collapsed="false" customWidth="false" hidden="false" outlineLevel="0" max="512" min="264" style="134" width="8.83"/>
    <col collapsed="false" customWidth="true" hidden="false" outlineLevel="0" max="513" min="513" style="134" width="45.83"/>
    <col collapsed="false" customWidth="true" hidden="false" outlineLevel="0" max="519" min="514" style="134" width="14.83"/>
    <col collapsed="false" customWidth="false" hidden="false" outlineLevel="0" max="768" min="520" style="134" width="8.83"/>
    <col collapsed="false" customWidth="true" hidden="false" outlineLevel="0" max="769" min="769" style="134" width="45.83"/>
    <col collapsed="false" customWidth="true" hidden="false" outlineLevel="0" max="775" min="770" style="134" width="14.83"/>
    <col collapsed="false" customWidth="false" hidden="false" outlineLevel="0" max="1024" min="776" style="134" width="8.83"/>
    <col collapsed="false" customWidth="true" hidden="false" outlineLevel="0" max="1025" min="1025" style="134" width="45.83"/>
    <col collapsed="false" customWidth="true" hidden="false" outlineLevel="0" max="1031" min="1026" style="134" width="14.83"/>
    <col collapsed="false" customWidth="false" hidden="false" outlineLevel="0" max="1280" min="1032" style="134" width="8.83"/>
    <col collapsed="false" customWidth="true" hidden="false" outlineLevel="0" max="1281" min="1281" style="134" width="45.83"/>
    <col collapsed="false" customWidth="true" hidden="false" outlineLevel="0" max="1287" min="1282" style="134" width="14.83"/>
    <col collapsed="false" customWidth="false" hidden="false" outlineLevel="0" max="1536" min="1288" style="134" width="8.83"/>
    <col collapsed="false" customWidth="true" hidden="false" outlineLevel="0" max="1537" min="1537" style="134" width="45.83"/>
    <col collapsed="false" customWidth="true" hidden="false" outlineLevel="0" max="1543" min="1538" style="134" width="14.83"/>
    <col collapsed="false" customWidth="false" hidden="false" outlineLevel="0" max="1792" min="1544" style="134" width="8.83"/>
    <col collapsed="false" customWidth="true" hidden="false" outlineLevel="0" max="1793" min="1793" style="134" width="45.83"/>
    <col collapsed="false" customWidth="true" hidden="false" outlineLevel="0" max="1799" min="1794" style="134" width="14.83"/>
    <col collapsed="false" customWidth="false" hidden="false" outlineLevel="0" max="2048" min="1800" style="134" width="8.83"/>
    <col collapsed="false" customWidth="true" hidden="false" outlineLevel="0" max="2049" min="2049" style="134" width="45.83"/>
    <col collapsed="false" customWidth="true" hidden="false" outlineLevel="0" max="2055" min="2050" style="134" width="14.83"/>
    <col collapsed="false" customWidth="false" hidden="false" outlineLevel="0" max="2304" min="2056" style="134" width="8.83"/>
    <col collapsed="false" customWidth="true" hidden="false" outlineLevel="0" max="2305" min="2305" style="134" width="45.83"/>
    <col collapsed="false" customWidth="true" hidden="false" outlineLevel="0" max="2311" min="2306" style="134" width="14.83"/>
    <col collapsed="false" customWidth="false" hidden="false" outlineLevel="0" max="2560" min="2312" style="134" width="8.83"/>
    <col collapsed="false" customWidth="true" hidden="false" outlineLevel="0" max="2561" min="2561" style="134" width="45.83"/>
    <col collapsed="false" customWidth="true" hidden="false" outlineLevel="0" max="2567" min="2562" style="134" width="14.83"/>
    <col collapsed="false" customWidth="false" hidden="false" outlineLevel="0" max="2816" min="2568" style="134" width="8.83"/>
    <col collapsed="false" customWidth="true" hidden="false" outlineLevel="0" max="2817" min="2817" style="134" width="45.83"/>
    <col collapsed="false" customWidth="true" hidden="false" outlineLevel="0" max="2823" min="2818" style="134" width="14.83"/>
    <col collapsed="false" customWidth="false" hidden="false" outlineLevel="0" max="3072" min="2824" style="134" width="8.83"/>
    <col collapsed="false" customWidth="true" hidden="false" outlineLevel="0" max="3073" min="3073" style="134" width="45.83"/>
    <col collapsed="false" customWidth="true" hidden="false" outlineLevel="0" max="3079" min="3074" style="134" width="14.83"/>
    <col collapsed="false" customWidth="false" hidden="false" outlineLevel="0" max="3328" min="3080" style="134" width="8.83"/>
    <col collapsed="false" customWidth="true" hidden="false" outlineLevel="0" max="3329" min="3329" style="134" width="45.83"/>
    <col collapsed="false" customWidth="true" hidden="false" outlineLevel="0" max="3335" min="3330" style="134" width="14.83"/>
    <col collapsed="false" customWidth="false" hidden="false" outlineLevel="0" max="3584" min="3336" style="134" width="8.83"/>
    <col collapsed="false" customWidth="true" hidden="false" outlineLevel="0" max="3585" min="3585" style="134" width="45.83"/>
    <col collapsed="false" customWidth="true" hidden="false" outlineLevel="0" max="3591" min="3586" style="134" width="14.83"/>
    <col collapsed="false" customWidth="false" hidden="false" outlineLevel="0" max="3840" min="3592" style="134" width="8.83"/>
    <col collapsed="false" customWidth="true" hidden="false" outlineLevel="0" max="3841" min="3841" style="134" width="45.83"/>
    <col collapsed="false" customWidth="true" hidden="false" outlineLevel="0" max="3847" min="3842" style="134" width="14.83"/>
    <col collapsed="false" customWidth="false" hidden="false" outlineLevel="0" max="4096" min="3848" style="134" width="8.83"/>
    <col collapsed="false" customWidth="true" hidden="false" outlineLevel="0" max="4097" min="4097" style="134" width="45.83"/>
    <col collapsed="false" customWidth="true" hidden="false" outlineLevel="0" max="4103" min="4098" style="134" width="14.83"/>
    <col collapsed="false" customWidth="false" hidden="false" outlineLevel="0" max="4352" min="4104" style="134" width="8.83"/>
    <col collapsed="false" customWidth="true" hidden="false" outlineLevel="0" max="4353" min="4353" style="134" width="45.83"/>
    <col collapsed="false" customWidth="true" hidden="false" outlineLevel="0" max="4359" min="4354" style="134" width="14.83"/>
    <col collapsed="false" customWidth="false" hidden="false" outlineLevel="0" max="4608" min="4360" style="134" width="8.83"/>
    <col collapsed="false" customWidth="true" hidden="false" outlineLevel="0" max="4609" min="4609" style="134" width="45.83"/>
    <col collapsed="false" customWidth="true" hidden="false" outlineLevel="0" max="4615" min="4610" style="134" width="14.83"/>
    <col collapsed="false" customWidth="false" hidden="false" outlineLevel="0" max="4864" min="4616" style="134" width="8.83"/>
    <col collapsed="false" customWidth="true" hidden="false" outlineLevel="0" max="4865" min="4865" style="134" width="45.83"/>
    <col collapsed="false" customWidth="true" hidden="false" outlineLevel="0" max="4871" min="4866" style="134" width="14.83"/>
    <col collapsed="false" customWidth="false" hidden="false" outlineLevel="0" max="5120" min="4872" style="134" width="8.83"/>
    <col collapsed="false" customWidth="true" hidden="false" outlineLevel="0" max="5121" min="5121" style="134" width="45.83"/>
    <col collapsed="false" customWidth="true" hidden="false" outlineLevel="0" max="5127" min="5122" style="134" width="14.83"/>
    <col collapsed="false" customWidth="false" hidden="false" outlineLevel="0" max="5376" min="5128" style="134" width="8.83"/>
    <col collapsed="false" customWidth="true" hidden="false" outlineLevel="0" max="5377" min="5377" style="134" width="45.83"/>
    <col collapsed="false" customWidth="true" hidden="false" outlineLevel="0" max="5383" min="5378" style="134" width="14.83"/>
    <col collapsed="false" customWidth="false" hidden="false" outlineLevel="0" max="5632" min="5384" style="134" width="8.83"/>
    <col collapsed="false" customWidth="true" hidden="false" outlineLevel="0" max="5633" min="5633" style="134" width="45.83"/>
    <col collapsed="false" customWidth="true" hidden="false" outlineLevel="0" max="5639" min="5634" style="134" width="14.83"/>
    <col collapsed="false" customWidth="false" hidden="false" outlineLevel="0" max="5888" min="5640" style="134" width="8.83"/>
    <col collapsed="false" customWidth="true" hidden="false" outlineLevel="0" max="5889" min="5889" style="134" width="45.83"/>
    <col collapsed="false" customWidth="true" hidden="false" outlineLevel="0" max="5895" min="5890" style="134" width="14.83"/>
    <col collapsed="false" customWidth="false" hidden="false" outlineLevel="0" max="6144" min="5896" style="134" width="8.83"/>
    <col collapsed="false" customWidth="true" hidden="false" outlineLevel="0" max="6145" min="6145" style="134" width="45.83"/>
    <col collapsed="false" customWidth="true" hidden="false" outlineLevel="0" max="6151" min="6146" style="134" width="14.83"/>
    <col collapsed="false" customWidth="false" hidden="false" outlineLevel="0" max="6400" min="6152" style="134" width="8.83"/>
    <col collapsed="false" customWidth="true" hidden="false" outlineLevel="0" max="6401" min="6401" style="134" width="45.83"/>
    <col collapsed="false" customWidth="true" hidden="false" outlineLevel="0" max="6407" min="6402" style="134" width="14.83"/>
    <col collapsed="false" customWidth="false" hidden="false" outlineLevel="0" max="6656" min="6408" style="134" width="8.83"/>
    <col collapsed="false" customWidth="true" hidden="false" outlineLevel="0" max="6657" min="6657" style="134" width="45.83"/>
    <col collapsed="false" customWidth="true" hidden="false" outlineLevel="0" max="6663" min="6658" style="134" width="14.83"/>
    <col collapsed="false" customWidth="false" hidden="false" outlineLevel="0" max="6912" min="6664" style="134" width="8.83"/>
    <col collapsed="false" customWidth="true" hidden="false" outlineLevel="0" max="6913" min="6913" style="134" width="45.83"/>
    <col collapsed="false" customWidth="true" hidden="false" outlineLevel="0" max="6919" min="6914" style="134" width="14.83"/>
    <col collapsed="false" customWidth="false" hidden="false" outlineLevel="0" max="7168" min="6920" style="134" width="8.83"/>
    <col collapsed="false" customWidth="true" hidden="false" outlineLevel="0" max="7169" min="7169" style="134" width="45.83"/>
    <col collapsed="false" customWidth="true" hidden="false" outlineLevel="0" max="7175" min="7170" style="134" width="14.83"/>
    <col collapsed="false" customWidth="false" hidden="false" outlineLevel="0" max="7424" min="7176" style="134" width="8.83"/>
    <col collapsed="false" customWidth="true" hidden="false" outlineLevel="0" max="7425" min="7425" style="134" width="45.83"/>
    <col collapsed="false" customWidth="true" hidden="false" outlineLevel="0" max="7431" min="7426" style="134" width="14.83"/>
    <col collapsed="false" customWidth="false" hidden="false" outlineLevel="0" max="7680" min="7432" style="134" width="8.83"/>
    <col collapsed="false" customWidth="true" hidden="false" outlineLevel="0" max="7681" min="7681" style="134" width="45.83"/>
    <col collapsed="false" customWidth="true" hidden="false" outlineLevel="0" max="7687" min="7682" style="134" width="14.83"/>
    <col collapsed="false" customWidth="false" hidden="false" outlineLevel="0" max="7936" min="7688" style="134" width="8.83"/>
    <col collapsed="false" customWidth="true" hidden="false" outlineLevel="0" max="7937" min="7937" style="134" width="45.83"/>
    <col collapsed="false" customWidth="true" hidden="false" outlineLevel="0" max="7943" min="7938" style="134" width="14.83"/>
    <col collapsed="false" customWidth="false" hidden="false" outlineLevel="0" max="8192" min="7944" style="134" width="8.83"/>
    <col collapsed="false" customWidth="true" hidden="false" outlineLevel="0" max="8193" min="8193" style="134" width="45.83"/>
    <col collapsed="false" customWidth="true" hidden="false" outlineLevel="0" max="8199" min="8194" style="134" width="14.83"/>
    <col collapsed="false" customWidth="false" hidden="false" outlineLevel="0" max="8448" min="8200" style="134" width="8.83"/>
    <col collapsed="false" customWidth="true" hidden="false" outlineLevel="0" max="8449" min="8449" style="134" width="45.83"/>
    <col collapsed="false" customWidth="true" hidden="false" outlineLevel="0" max="8455" min="8450" style="134" width="14.83"/>
    <col collapsed="false" customWidth="false" hidden="false" outlineLevel="0" max="8704" min="8456" style="134" width="8.83"/>
    <col collapsed="false" customWidth="true" hidden="false" outlineLevel="0" max="8705" min="8705" style="134" width="45.83"/>
    <col collapsed="false" customWidth="true" hidden="false" outlineLevel="0" max="8711" min="8706" style="134" width="14.83"/>
    <col collapsed="false" customWidth="false" hidden="false" outlineLevel="0" max="8960" min="8712" style="134" width="8.83"/>
    <col collapsed="false" customWidth="true" hidden="false" outlineLevel="0" max="8961" min="8961" style="134" width="45.83"/>
    <col collapsed="false" customWidth="true" hidden="false" outlineLevel="0" max="8967" min="8962" style="134" width="14.83"/>
    <col collapsed="false" customWidth="false" hidden="false" outlineLevel="0" max="9216" min="8968" style="134" width="8.83"/>
    <col collapsed="false" customWidth="true" hidden="false" outlineLevel="0" max="9217" min="9217" style="134" width="45.83"/>
    <col collapsed="false" customWidth="true" hidden="false" outlineLevel="0" max="9223" min="9218" style="134" width="14.83"/>
    <col collapsed="false" customWidth="false" hidden="false" outlineLevel="0" max="9472" min="9224" style="134" width="8.83"/>
    <col collapsed="false" customWidth="true" hidden="false" outlineLevel="0" max="9473" min="9473" style="134" width="45.83"/>
    <col collapsed="false" customWidth="true" hidden="false" outlineLevel="0" max="9479" min="9474" style="134" width="14.83"/>
    <col collapsed="false" customWidth="false" hidden="false" outlineLevel="0" max="9728" min="9480" style="134" width="8.83"/>
    <col collapsed="false" customWidth="true" hidden="false" outlineLevel="0" max="9729" min="9729" style="134" width="45.83"/>
    <col collapsed="false" customWidth="true" hidden="false" outlineLevel="0" max="9735" min="9730" style="134" width="14.83"/>
    <col collapsed="false" customWidth="false" hidden="false" outlineLevel="0" max="9984" min="9736" style="134" width="8.83"/>
    <col collapsed="false" customWidth="true" hidden="false" outlineLevel="0" max="9985" min="9985" style="134" width="45.83"/>
    <col collapsed="false" customWidth="true" hidden="false" outlineLevel="0" max="9991" min="9986" style="134" width="14.83"/>
    <col collapsed="false" customWidth="false" hidden="false" outlineLevel="0" max="10240" min="9992" style="134" width="8.83"/>
    <col collapsed="false" customWidth="true" hidden="false" outlineLevel="0" max="10241" min="10241" style="134" width="45.83"/>
    <col collapsed="false" customWidth="true" hidden="false" outlineLevel="0" max="10247" min="10242" style="134" width="14.83"/>
    <col collapsed="false" customWidth="false" hidden="false" outlineLevel="0" max="10496" min="10248" style="134" width="8.83"/>
    <col collapsed="false" customWidth="true" hidden="false" outlineLevel="0" max="10497" min="10497" style="134" width="45.83"/>
    <col collapsed="false" customWidth="true" hidden="false" outlineLevel="0" max="10503" min="10498" style="134" width="14.83"/>
    <col collapsed="false" customWidth="false" hidden="false" outlineLevel="0" max="10752" min="10504" style="134" width="8.83"/>
    <col collapsed="false" customWidth="true" hidden="false" outlineLevel="0" max="10753" min="10753" style="134" width="45.83"/>
    <col collapsed="false" customWidth="true" hidden="false" outlineLevel="0" max="10759" min="10754" style="134" width="14.83"/>
    <col collapsed="false" customWidth="false" hidden="false" outlineLevel="0" max="11008" min="10760" style="134" width="8.83"/>
    <col collapsed="false" customWidth="true" hidden="false" outlineLevel="0" max="11009" min="11009" style="134" width="45.83"/>
    <col collapsed="false" customWidth="true" hidden="false" outlineLevel="0" max="11015" min="11010" style="134" width="14.83"/>
    <col collapsed="false" customWidth="false" hidden="false" outlineLevel="0" max="11264" min="11016" style="134" width="8.83"/>
    <col collapsed="false" customWidth="true" hidden="false" outlineLevel="0" max="11265" min="11265" style="134" width="45.83"/>
    <col collapsed="false" customWidth="true" hidden="false" outlineLevel="0" max="11271" min="11266" style="134" width="14.83"/>
    <col collapsed="false" customWidth="false" hidden="false" outlineLevel="0" max="11520" min="11272" style="134" width="8.83"/>
    <col collapsed="false" customWidth="true" hidden="false" outlineLevel="0" max="11521" min="11521" style="134" width="45.83"/>
    <col collapsed="false" customWidth="true" hidden="false" outlineLevel="0" max="11527" min="11522" style="134" width="14.83"/>
    <col collapsed="false" customWidth="false" hidden="false" outlineLevel="0" max="11776" min="11528" style="134" width="8.83"/>
    <col collapsed="false" customWidth="true" hidden="false" outlineLevel="0" max="11777" min="11777" style="134" width="45.83"/>
    <col collapsed="false" customWidth="true" hidden="false" outlineLevel="0" max="11783" min="11778" style="134" width="14.83"/>
    <col collapsed="false" customWidth="false" hidden="false" outlineLevel="0" max="12032" min="11784" style="134" width="8.83"/>
    <col collapsed="false" customWidth="true" hidden="false" outlineLevel="0" max="12033" min="12033" style="134" width="45.83"/>
    <col collapsed="false" customWidth="true" hidden="false" outlineLevel="0" max="12039" min="12034" style="134" width="14.83"/>
    <col collapsed="false" customWidth="false" hidden="false" outlineLevel="0" max="12288" min="12040" style="134" width="8.83"/>
    <col collapsed="false" customWidth="true" hidden="false" outlineLevel="0" max="12289" min="12289" style="134" width="45.83"/>
    <col collapsed="false" customWidth="true" hidden="false" outlineLevel="0" max="12295" min="12290" style="134" width="14.83"/>
    <col collapsed="false" customWidth="false" hidden="false" outlineLevel="0" max="12544" min="12296" style="134" width="8.83"/>
    <col collapsed="false" customWidth="true" hidden="false" outlineLevel="0" max="12545" min="12545" style="134" width="45.83"/>
    <col collapsed="false" customWidth="true" hidden="false" outlineLevel="0" max="12551" min="12546" style="134" width="14.83"/>
    <col collapsed="false" customWidth="false" hidden="false" outlineLevel="0" max="12800" min="12552" style="134" width="8.83"/>
    <col collapsed="false" customWidth="true" hidden="false" outlineLevel="0" max="12801" min="12801" style="134" width="45.83"/>
    <col collapsed="false" customWidth="true" hidden="false" outlineLevel="0" max="12807" min="12802" style="134" width="14.83"/>
    <col collapsed="false" customWidth="false" hidden="false" outlineLevel="0" max="13056" min="12808" style="134" width="8.83"/>
    <col collapsed="false" customWidth="true" hidden="false" outlineLevel="0" max="13057" min="13057" style="134" width="45.83"/>
    <col collapsed="false" customWidth="true" hidden="false" outlineLevel="0" max="13063" min="13058" style="134" width="14.83"/>
    <col collapsed="false" customWidth="false" hidden="false" outlineLevel="0" max="13312" min="13064" style="134" width="8.83"/>
    <col collapsed="false" customWidth="true" hidden="false" outlineLevel="0" max="13313" min="13313" style="134" width="45.83"/>
    <col collapsed="false" customWidth="true" hidden="false" outlineLevel="0" max="13319" min="13314" style="134" width="14.83"/>
    <col collapsed="false" customWidth="false" hidden="false" outlineLevel="0" max="13568" min="13320" style="134" width="8.83"/>
    <col collapsed="false" customWidth="true" hidden="false" outlineLevel="0" max="13569" min="13569" style="134" width="45.83"/>
    <col collapsed="false" customWidth="true" hidden="false" outlineLevel="0" max="13575" min="13570" style="134" width="14.83"/>
    <col collapsed="false" customWidth="false" hidden="false" outlineLevel="0" max="13824" min="13576" style="134" width="8.83"/>
    <col collapsed="false" customWidth="true" hidden="false" outlineLevel="0" max="13825" min="13825" style="134" width="45.83"/>
    <col collapsed="false" customWidth="true" hidden="false" outlineLevel="0" max="13831" min="13826" style="134" width="14.83"/>
    <col collapsed="false" customWidth="false" hidden="false" outlineLevel="0" max="14080" min="13832" style="134" width="8.83"/>
    <col collapsed="false" customWidth="true" hidden="false" outlineLevel="0" max="14081" min="14081" style="134" width="45.83"/>
    <col collapsed="false" customWidth="true" hidden="false" outlineLevel="0" max="14087" min="14082" style="134" width="14.83"/>
    <col collapsed="false" customWidth="false" hidden="false" outlineLevel="0" max="14336" min="14088" style="134" width="8.83"/>
    <col collapsed="false" customWidth="true" hidden="false" outlineLevel="0" max="14337" min="14337" style="134" width="45.83"/>
    <col collapsed="false" customWidth="true" hidden="false" outlineLevel="0" max="14343" min="14338" style="134" width="14.83"/>
    <col collapsed="false" customWidth="false" hidden="false" outlineLevel="0" max="14592" min="14344" style="134" width="8.83"/>
    <col collapsed="false" customWidth="true" hidden="false" outlineLevel="0" max="14593" min="14593" style="134" width="45.83"/>
    <col collapsed="false" customWidth="true" hidden="false" outlineLevel="0" max="14599" min="14594" style="134" width="14.83"/>
    <col collapsed="false" customWidth="false" hidden="false" outlineLevel="0" max="14848" min="14600" style="134" width="8.83"/>
    <col collapsed="false" customWidth="true" hidden="false" outlineLevel="0" max="14849" min="14849" style="134" width="45.83"/>
    <col collapsed="false" customWidth="true" hidden="false" outlineLevel="0" max="14855" min="14850" style="134" width="14.83"/>
    <col collapsed="false" customWidth="false" hidden="false" outlineLevel="0" max="15104" min="14856" style="134" width="8.83"/>
    <col collapsed="false" customWidth="true" hidden="false" outlineLevel="0" max="15105" min="15105" style="134" width="45.83"/>
    <col collapsed="false" customWidth="true" hidden="false" outlineLevel="0" max="15111" min="15106" style="134" width="14.83"/>
    <col collapsed="false" customWidth="false" hidden="false" outlineLevel="0" max="15360" min="15112" style="134" width="8.83"/>
    <col collapsed="false" customWidth="true" hidden="false" outlineLevel="0" max="15361" min="15361" style="134" width="45.83"/>
    <col collapsed="false" customWidth="true" hidden="false" outlineLevel="0" max="15367" min="15362" style="134" width="14.83"/>
    <col collapsed="false" customWidth="false" hidden="false" outlineLevel="0" max="15616" min="15368" style="134" width="8.83"/>
    <col collapsed="false" customWidth="true" hidden="false" outlineLevel="0" max="15617" min="15617" style="134" width="45.83"/>
    <col collapsed="false" customWidth="true" hidden="false" outlineLevel="0" max="15623" min="15618" style="134" width="14.83"/>
    <col collapsed="false" customWidth="false" hidden="false" outlineLevel="0" max="15872" min="15624" style="134" width="8.83"/>
    <col collapsed="false" customWidth="true" hidden="false" outlineLevel="0" max="15873" min="15873" style="134" width="45.83"/>
    <col collapsed="false" customWidth="true" hidden="false" outlineLevel="0" max="15879" min="15874" style="134" width="14.83"/>
    <col collapsed="false" customWidth="false" hidden="false" outlineLevel="0" max="16128" min="15880" style="134" width="8.83"/>
    <col collapsed="false" customWidth="true" hidden="false" outlineLevel="0" max="16129" min="16129" style="134" width="45.83"/>
    <col collapsed="false" customWidth="true" hidden="false" outlineLevel="0" max="16135" min="16130" style="134" width="14.83"/>
    <col collapsed="false" customWidth="false" hidden="false" outlineLevel="0" max="16384" min="16136" style="134" width="8.83"/>
  </cols>
  <sheetData>
    <row r="5" customFormat="false" ht="16.15" hidden="false" customHeight="false" outlineLevel="0" collapsed="false">
      <c r="A5" s="135" t="s">
        <v>255</v>
      </c>
    </row>
    <row r="7" customFormat="false" ht="10.5" hidden="false" customHeight="false" outlineLevel="0" collapsed="false">
      <c r="A7" s="136" t="s">
        <v>256</v>
      </c>
      <c r="B7" s="137" t="s">
        <v>257</v>
      </c>
      <c r="C7" s="134" t="s">
        <v>258</v>
      </c>
      <c r="D7" s="138" t="s">
        <v>192</v>
      </c>
      <c r="E7" s="137" t="s">
        <v>259</v>
      </c>
      <c r="F7" s="134" t="s">
        <v>260</v>
      </c>
    </row>
    <row r="8" customFormat="false" ht="10.5" hidden="false" customHeight="false" outlineLevel="0" collapsed="false">
      <c r="A8" s="138"/>
      <c r="B8" s="137" t="s">
        <v>261</v>
      </c>
      <c r="C8" s="134" t="s">
        <v>262</v>
      </c>
      <c r="D8" s="138" t="s">
        <v>192</v>
      </c>
      <c r="E8" s="137" t="s">
        <v>195</v>
      </c>
      <c r="F8" s="134" t="s">
        <v>196</v>
      </c>
    </row>
    <row r="9" customFormat="false" ht="10.5" hidden="false" customHeight="false" outlineLevel="0" collapsed="false">
      <c r="A9" s="138"/>
      <c r="B9" s="137" t="s">
        <v>190</v>
      </c>
      <c r="C9" s="134" t="s">
        <v>263</v>
      </c>
      <c r="D9" s="138" t="s">
        <v>192</v>
      </c>
      <c r="E9" s="137" t="s">
        <v>193</v>
      </c>
      <c r="F9" s="134" t="s">
        <v>194</v>
      </c>
    </row>
    <row r="10" customFormat="false" ht="10.5" hidden="false" customHeight="false" outlineLevel="0" collapsed="false">
      <c r="A10" s="138"/>
      <c r="B10" s="137" t="s">
        <v>197</v>
      </c>
      <c r="C10" s="134" t="s">
        <v>198</v>
      </c>
      <c r="D10" s="138" t="s">
        <v>192</v>
      </c>
      <c r="E10" s="137" t="s">
        <v>199</v>
      </c>
      <c r="F10" s="139" t="s">
        <v>200</v>
      </c>
    </row>
    <row r="11" customFormat="false" ht="10.5" hidden="false" customHeight="false" outlineLevel="0" collapsed="false">
      <c r="A11" s="138"/>
      <c r="B11" s="137" t="s">
        <v>264</v>
      </c>
      <c r="C11" s="134" t="s">
        <v>265</v>
      </c>
      <c r="D11" s="138" t="s">
        <v>192</v>
      </c>
      <c r="E11" s="175"/>
      <c r="F11" s="175"/>
    </row>
    <row r="12" customFormat="false" ht="10.5" hidden="false" customHeight="false" outlineLevel="0" collapsed="false">
      <c r="I12" s="176"/>
      <c r="J12" s="177"/>
    </row>
    <row r="13" customFormat="false" ht="10.5" hidden="false" customHeight="false" outlineLevel="0" collapsed="false">
      <c r="A13" s="178"/>
      <c r="B13" s="178"/>
      <c r="C13" s="178"/>
      <c r="D13" s="178"/>
      <c r="E13" s="178"/>
      <c r="F13" s="178"/>
      <c r="G13" s="178"/>
      <c r="H13" s="178"/>
      <c r="I13" s="179"/>
      <c r="J13" s="180"/>
    </row>
    <row r="14" customFormat="false" ht="10.5" hidden="false" customHeight="false" outlineLevel="0" collapsed="false">
      <c r="A14" s="181" t="s">
        <v>266</v>
      </c>
      <c r="B14" s="181"/>
      <c r="C14" s="181"/>
      <c r="D14" s="181"/>
      <c r="E14" s="181"/>
      <c r="F14" s="181"/>
      <c r="G14" s="181"/>
      <c r="H14" s="182"/>
      <c r="I14" s="183"/>
      <c r="J14" s="184"/>
      <c r="K14" s="143"/>
      <c r="L14" s="143"/>
      <c r="M14" s="143"/>
      <c r="N14" s="143"/>
      <c r="O14" s="143"/>
      <c r="P14" s="143"/>
      <c r="Q14" s="143"/>
      <c r="R14" s="143"/>
      <c r="S14" s="143"/>
      <c r="T14" s="143"/>
      <c r="U14" s="143"/>
      <c r="V14" s="143"/>
      <c r="W14" s="143"/>
      <c r="X14" s="143"/>
      <c r="Y14" s="143"/>
      <c r="Z14" s="143"/>
      <c r="AA14" s="143"/>
      <c r="AB14" s="143"/>
      <c r="AC14" s="143"/>
      <c r="AD14" s="143"/>
      <c r="AE14" s="143"/>
      <c r="AF14" s="143"/>
      <c r="AG14" s="143"/>
      <c r="AH14" s="143"/>
      <c r="AI14" s="143"/>
      <c r="AJ14" s="143"/>
      <c r="AK14" s="143"/>
      <c r="AL14" s="143"/>
      <c r="AM14" s="143"/>
      <c r="AN14" s="143"/>
      <c r="AO14" s="143"/>
      <c r="AP14" s="143"/>
      <c r="AQ14" s="143"/>
      <c r="AR14" s="143"/>
      <c r="AS14" s="143"/>
      <c r="AT14" s="143"/>
      <c r="AU14" s="143"/>
      <c r="AV14" s="143"/>
      <c r="AW14" s="143"/>
      <c r="AX14" s="143"/>
      <c r="AY14" s="143"/>
      <c r="AZ14" s="143"/>
      <c r="BA14" s="143"/>
      <c r="BB14" s="143"/>
      <c r="BC14" s="143"/>
      <c r="BD14" s="143"/>
      <c r="BE14" s="143"/>
      <c r="BF14" s="143"/>
      <c r="BG14" s="143"/>
      <c r="BH14" s="143"/>
      <c r="BI14" s="143"/>
      <c r="BJ14" s="143"/>
      <c r="BK14" s="143"/>
      <c r="BL14" s="143"/>
      <c r="BM14" s="143"/>
      <c r="BN14" s="143"/>
      <c r="BO14" s="143"/>
      <c r="BP14" s="143"/>
      <c r="BQ14" s="143"/>
      <c r="BR14" s="143"/>
      <c r="BS14" s="143"/>
      <c r="BT14" s="143"/>
      <c r="BU14" s="143"/>
      <c r="BV14" s="143"/>
      <c r="BW14" s="143"/>
      <c r="BX14" s="143"/>
      <c r="BY14" s="143"/>
      <c r="BZ14" s="143"/>
      <c r="CA14" s="143"/>
      <c r="CB14" s="143"/>
      <c r="CC14" s="143"/>
      <c r="CD14" s="143"/>
      <c r="CE14" s="143"/>
      <c r="CF14" s="143"/>
      <c r="CG14" s="143"/>
      <c r="CH14" s="143"/>
      <c r="CI14" s="143"/>
      <c r="CJ14" s="143"/>
      <c r="CK14" s="143"/>
      <c r="CL14" s="143"/>
      <c r="CM14" s="143"/>
      <c r="CN14" s="143"/>
      <c r="CO14" s="143"/>
      <c r="CP14" s="143"/>
      <c r="CQ14" s="143"/>
      <c r="CR14" s="143"/>
      <c r="CS14" s="143"/>
      <c r="CT14" s="143"/>
      <c r="CU14" s="143"/>
      <c r="CV14" s="143"/>
      <c r="CW14" s="143"/>
      <c r="CX14" s="143"/>
      <c r="CY14" s="143"/>
      <c r="CZ14" s="143"/>
      <c r="DA14" s="143"/>
      <c r="DB14" s="143"/>
      <c r="DC14" s="143"/>
      <c r="DD14" s="143"/>
      <c r="DE14" s="143"/>
      <c r="DF14" s="143"/>
      <c r="DG14" s="143"/>
      <c r="DH14" s="143"/>
      <c r="DI14" s="143"/>
      <c r="DJ14" s="143"/>
      <c r="DK14" s="143"/>
      <c r="DL14" s="143"/>
      <c r="DM14" s="143"/>
      <c r="DN14" s="143"/>
      <c r="DO14" s="143"/>
      <c r="DP14" s="143"/>
      <c r="DQ14" s="143"/>
      <c r="DR14" s="143"/>
      <c r="DS14" s="143"/>
      <c r="DT14" s="143"/>
      <c r="DU14" s="143"/>
      <c r="DV14" s="143"/>
      <c r="DW14" s="143"/>
      <c r="DX14" s="143"/>
      <c r="DY14" s="143"/>
      <c r="DZ14" s="143"/>
      <c r="EA14" s="143"/>
      <c r="EB14" s="143"/>
      <c r="EC14" s="143"/>
      <c r="ED14" s="143"/>
      <c r="EE14" s="143"/>
      <c r="EF14" s="143"/>
      <c r="EG14" s="143"/>
      <c r="EH14" s="143"/>
      <c r="EI14" s="143"/>
      <c r="EJ14" s="143"/>
      <c r="EK14" s="143"/>
      <c r="EL14" s="143"/>
      <c r="EM14" s="143"/>
      <c r="EN14" s="143"/>
      <c r="EO14" s="143"/>
      <c r="EP14" s="143"/>
      <c r="EQ14" s="143"/>
      <c r="ER14" s="143"/>
      <c r="ES14" s="143"/>
      <c r="ET14" s="143"/>
      <c r="EU14" s="143"/>
      <c r="EV14" s="143"/>
      <c r="EW14" s="143"/>
      <c r="EX14" s="143"/>
      <c r="EY14" s="143"/>
      <c r="EZ14" s="143"/>
      <c r="FA14" s="143"/>
      <c r="FB14" s="143"/>
      <c r="FC14" s="143"/>
      <c r="FD14" s="143"/>
      <c r="FE14" s="143"/>
      <c r="FF14" s="143"/>
      <c r="FG14" s="143"/>
      <c r="FH14" s="143"/>
      <c r="FI14" s="143"/>
      <c r="FJ14" s="143"/>
      <c r="FK14" s="143"/>
      <c r="FL14" s="143"/>
      <c r="FM14" s="143"/>
      <c r="FN14" s="143"/>
      <c r="FO14" s="143"/>
      <c r="FP14" s="143"/>
      <c r="FQ14" s="143"/>
      <c r="FR14" s="143"/>
      <c r="FS14" s="143"/>
      <c r="FT14" s="143"/>
      <c r="FU14" s="143"/>
      <c r="FV14" s="143"/>
      <c r="FW14" s="143"/>
      <c r="FX14" s="143"/>
      <c r="FY14" s="143"/>
      <c r="FZ14" s="143"/>
      <c r="GA14" s="143"/>
      <c r="GB14" s="143"/>
      <c r="GC14" s="143"/>
      <c r="GD14" s="143"/>
      <c r="GE14" s="143"/>
      <c r="GF14" s="143"/>
      <c r="GG14" s="143"/>
      <c r="GH14" s="143"/>
      <c r="GI14" s="143"/>
      <c r="GJ14" s="143"/>
      <c r="GK14" s="143"/>
      <c r="GL14" s="143"/>
      <c r="GM14" s="143"/>
      <c r="GN14" s="143"/>
      <c r="GO14" s="143"/>
      <c r="GP14" s="143"/>
      <c r="GQ14" s="143"/>
      <c r="GR14" s="143"/>
      <c r="GS14" s="143"/>
      <c r="GT14" s="143"/>
      <c r="GU14" s="143"/>
      <c r="GV14" s="143"/>
      <c r="GW14" s="143"/>
      <c r="GX14" s="143"/>
      <c r="GY14" s="143"/>
      <c r="GZ14" s="143"/>
      <c r="HA14" s="143"/>
      <c r="HB14" s="143"/>
      <c r="HC14" s="143"/>
      <c r="HD14" s="143"/>
      <c r="HE14" s="143"/>
      <c r="HF14" s="143"/>
      <c r="HG14" s="143"/>
      <c r="HH14" s="143"/>
      <c r="HI14" s="143"/>
      <c r="HJ14" s="143"/>
      <c r="HK14" s="143"/>
      <c r="HL14" s="143"/>
      <c r="HM14" s="143"/>
      <c r="HN14" s="143"/>
      <c r="HO14" s="143"/>
      <c r="HP14" s="143"/>
      <c r="HQ14" s="143"/>
      <c r="HR14" s="143"/>
      <c r="HS14" s="143"/>
      <c r="HT14" s="143"/>
      <c r="HU14" s="143"/>
      <c r="HV14" s="143"/>
      <c r="HW14" s="143"/>
      <c r="HX14" s="143"/>
      <c r="HY14" s="143"/>
      <c r="HZ14" s="143"/>
      <c r="IA14" s="143"/>
      <c r="IB14" s="143"/>
      <c r="IC14" s="143"/>
      <c r="ID14" s="143"/>
      <c r="IE14" s="143"/>
      <c r="IF14" s="143"/>
      <c r="IG14" s="143"/>
      <c r="IH14" s="143"/>
      <c r="II14" s="143"/>
      <c r="IJ14" s="143"/>
      <c r="IK14" s="143"/>
      <c r="IL14" s="143"/>
      <c r="IM14" s="143"/>
      <c r="IN14" s="143"/>
      <c r="IO14" s="143"/>
      <c r="IP14" s="143"/>
      <c r="IQ14" s="143"/>
      <c r="IR14" s="143"/>
      <c r="IS14" s="143"/>
      <c r="IT14" s="143"/>
      <c r="IU14" s="143"/>
    </row>
    <row r="15" customFormat="false" ht="28.35" hidden="false" customHeight="false" outlineLevel="0" collapsed="false">
      <c r="A15" s="144" t="s">
        <v>204</v>
      </c>
      <c r="B15" s="145" t="s">
        <v>267</v>
      </c>
      <c r="C15" s="145" t="s">
        <v>268</v>
      </c>
      <c r="D15" s="145" t="s">
        <v>269</v>
      </c>
      <c r="E15" s="145" t="s">
        <v>270</v>
      </c>
      <c r="F15" s="145" t="s">
        <v>271</v>
      </c>
      <c r="G15" s="145" t="s">
        <v>272</v>
      </c>
      <c r="H15" s="178"/>
      <c r="I15" s="179"/>
      <c r="J15" s="180"/>
    </row>
    <row r="16" customFormat="false" ht="10.5" hidden="false" customHeight="false" outlineLevel="0" collapsed="false">
      <c r="A16" s="165" t="s">
        <v>215</v>
      </c>
      <c r="B16" s="166" t="s">
        <v>216</v>
      </c>
      <c r="C16" s="166" t="s">
        <v>216</v>
      </c>
      <c r="D16" s="166" t="s">
        <v>216</v>
      </c>
      <c r="E16" s="166" t="s">
        <v>216</v>
      </c>
      <c r="F16" s="166" t="s">
        <v>216</v>
      </c>
      <c r="G16" s="166" t="s">
        <v>216</v>
      </c>
      <c r="I16" s="153"/>
      <c r="J16" s="154"/>
    </row>
    <row r="17" customFormat="false" ht="10.5" hidden="false" customHeight="false" outlineLevel="0" collapsed="false">
      <c r="A17" s="152" t="s">
        <v>273</v>
      </c>
      <c r="B17" s="138"/>
      <c r="C17" s="138"/>
      <c r="D17" s="138"/>
      <c r="E17" s="138"/>
      <c r="F17" s="138"/>
      <c r="G17" s="138"/>
      <c r="I17" s="153"/>
      <c r="J17" s="154"/>
    </row>
    <row r="18" customFormat="false" ht="10.5" hidden="false" customHeight="false" outlineLevel="0" collapsed="false">
      <c r="A18" s="138" t="s">
        <v>29</v>
      </c>
      <c r="B18" s="168" t="n">
        <v>327.8</v>
      </c>
      <c r="C18" s="168" t="n">
        <v>428.4</v>
      </c>
      <c r="D18" s="168" t="n">
        <v>478.7</v>
      </c>
      <c r="E18" s="168" t="n">
        <v>519.4</v>
      </c>
      <c r="F18" s="168" t="n">
        <v>580</v>
      </c>
      <c r="G18" s="168" t="n">
        <v>616.7</v>
      </c>
      <c r="I18" s="153"/>
      <c r="J18" s="154"/>
    </row>
    <row r="19" customFormat="false" ht="10.5" hidden="false" customHeight="false" outlineLevel="0" collapsed="false">
      <c r="A19" s="138" t="s">
        <v>274</v>
      </c>
      <c r="B19" s="168" t="s">
        <v>230</v>
      </c>
      <c r="C19" s="168" t="s">
        <v>230</v>
      </c>
      <c r="D19" s="168" t="s">
        <v>230</v>
      </c>
      <c r="E19" s="168" t="s">
        <v>230</v>
      </c>
      <c r="F19" s="168" t="s">
        <v>230</v>
      </c>
      <c r="G19" s="168" t="s">
        <v>230</v>
      </c>
      <c r="I19" s="153"/>
      <c r="J19" s="154"/>
    </row>
    <row r="20" customFormat="false" ht="10.5" hidden="false" customHeight="false" outlineLevel="0" collapsed="false">
      <c r="A20" s="152" t="s">
        <v>275</v>
      </c>
      <c r="B20" s="169" t="n">
        <v>327.8</v>
      </c>
      <c r="C20" s="169" t="n">
        <v>428.4</v>
      </c>
      <c r="D20" s="169" t="n">
        <v>478.7</v>
      </c>
      <c r="E20" s="169" t="n">
        <v>519.4</v>
      </c>
      <c r="F20" s="169" t="n">
        <v>580</v>
      </c>
      <c r="G20" s="169" t="n">
        <v>616.7</v>
      </c>
      <c r="I20" s="153"/>
      <c r="J20" s="154"/>
    </row>
    <row r="21" customFormat="false" ht="10.5" hidden="false" customHeight="false" outlineLevel="0" collapsed="false">
      <c r="A21" s="138"/>
      <c r="B21" s="138"/>
      <c r="C21" s="138"/>
      <c r="D21" s="138"/>
      <c r="E21" s="138"/>
      <c r="F21" s="138"/>
      <c r="G21" s="138"/>
      <c r="I21" s="153"/>
      <c r="J21" s="154"/>
    </row>
    <row r="22" customFormat="false" ht="10.5" hidden="false" customHeight="false" outlineLevel="0" collapsed="false">
      <c r="A22" s="138" t="s">
        <v>276</v>
      </c>
      <c r="B22" s="168" t="n">
        <v>259.1</v>
      </c>
      <c r="C22" s="168" t="n">
        <v>326.2</v>
      </c>
      <c r="D22" s="168" t="n">
        <v>368.6</v>
      </c>
      <c r="E22" s="168" t="n">
        <v>398</v>
      </c>
      <c r="F22" s="168" t="n">
        <v>441.7</v>
      </c>
      <c r="G22" s="168" t="n">
        <v>471.7</v>
      </c>
      <c r="I22" s="153"/>
      <c r="J22" s="154"/>
    </row>
    <row r="23" customFormat="false" ht="10.5" hidden="false" customHeight="false" outlineLevel="0" collapsed="false">
      <c r="A23" s="152" t="s">
        <v>277</v>
      </c>
      <c r="B23" s="169" t="n">
        <v>68.7</v>
      </c>
      <c r="C23" s="169" t="n">
        <v>102.2</v>
      </c>
      <c r="D23" s="169" t="n">
        <v>110.1</v>
      </c>
      <c r="E23" s="169" t="n">
        <v>121.4</v>
      </c>
      <c r="F23" s="169" t="n">
        <v>138.3</v>
      </c>
      <c r="G23" s="169" t="n">
        <v>145</v>
      </c>
      <c r="I23" s="153"/>
      <c r="J23" s="154"/>
    </row>
    <row r="24" customFormat="false" ht="10.5" hidden="false" customHeight="false" outlineLevel="0" collapsed="false">
      <c r="A24" s="138"/>
      <c r="B24" s="138"/>
      <c r="C24" s="138"/>
      <c r="D24" s="138"/>
      <c r="E24" s="138"/>
      <c r="F24" s="138"/>
      <c r="G24" s="138"/>
      <c r="I24" s="153"/>
      <c r="J24" s="154"/>
    </row>
    <row r="25" customFormat="false" ht="10.5" hidden="false" customHeight="false" outlineLevel="0" collapsed="false">
      <c r="A25" s="138" t="s">
        <v>278</v>
      </c>
      <c r="B25" s="168" t="n">
        <v>37.6</v>
      </c>
      <c r="C25" s="168" t="n">
        <v>39.8</v>
      </c>
      <c r="D25" s="168" t="n">
        <v>45.7</v>
      </c>
      <c r="E25" s="168" t="n">
        <v>62.1</v>
      </c>
      <c r="F25" s="168" t="n">
        <v>68.9</v>
      </c>
      <c r="G25" s="168" t="n">
        <v>70.2</v>
      </c>
      <c r="I25" s="153"/>
      <c r="J25" s="154"/>
    </row>
    <row r="26" customFormat="false" ht="10.5" hidden="false" customHeight="false" outlineLevel="0" collapsed="false">
      <c r="A26" s="138" t="s">
        <v>279</v>
      </c>
      <c r="B26" s="168" t="s">
        <v>230</v>
      </c>
      <c r="C26" s="168" t="s">
        <v>230</v>
      </c>
      <c r="D26" s="168" t="s">
        <v>230</v>
      </c>
      <c r="E26" s="168" t="s">
        <v>230</v>
      </c>
      <c r="F26" s="168" t="s">
        <v>230</v>
      </c>
      <c r="G26" s="168" t="s">
        <v>230</v>
      </c>
      <c r="I26" s="153"/>
      <c r="J26" s="154"/>
    </row>
    <row r="27" customFormat="false" ht="10.5" hidden="false" customHeight="false" outlineLevel="0" collapsed="false">
      <c r="A27" s="138" t="s">
        <v>280</v>
      </c>
      <c r="B27" s="168" t="s">
        <v>230</v>
      </c>
      <c r="C27" s="168" t="s">
        <v>230</v>
      </c>
      <c r="D27" s="168" t="s">
        <v>230</v>
      </c>
      <c r="E27" s="168" t="s">
        <v>230</v>
      </c>
      <c r="F27" s="168" t="s">
        <v>230</v>
      </c>
      <c r="G27" s="168" t="s">
        <v>230</v>
      </c>
      <c r="I27" s="153"/>
      <c r="J27" s="154"/>
    </row>
    <row r="28" customFormat="false" ht="10.5" hidden="false" customHeight="false" outlineLevel="0" collapsed="false">
      <c r="A28" s="138" t="s">
        <v>281</v>
      </c>
      <c r="B28" s="168" t="s">
        <v>230</v>
      </c>
      <c r="C28" s="168" t="s">
        <v>230</v>
      </c>
      <c r="D28" s="168" t="s">
        <v>230</v>
      </c>
      <c r="E28" s="168" t="s">
        <v>230</v>
      </c>
      <c r="F28" s="168" t="s">
        <v>230</v>
      </c>
      <c r="G28" s="168" t="s">
        <v>230</v>
      </c>
      <c r="I28" s="153"/>
      <c r="J28" s="154"/>
    </row>
    <row r="29" customFormat="false" ht="10.5" hidden="false" customHeight="false" outlineLevel="0" collapsed="false">
      <c r="A29" s="138"/>
      <c r="B29" s="138"/>
      <c r="C29" s="138"/>
      <c r="D29" s="138"/>
      <c r="E29" s="138"/>
      <c r="F29" s="138"/>
      <c r="G29" s="138"/>
      <c r="I29" s="153"/>
      <c r="J29" s="154"/>
    </row>
    <row r="30" customFormat="false" ht="10.5" hidden="false" customHeight="false" outlineLevel="0" collapsed="false">
      <c r="A30" s="152" t="s">
        <v>282</v>
      </c>
      <c r="B30" s="169" t="n">
        <v>37.6</v>
      </c>
      <c r="C30" s="169" t="n">
        <v>39.8</v>
      </c>
      <c r="D30" s="169" t="n">
        <v>45.7</v>
      </c>
      <c r="E30" s="169" t="n">
        <v>62.1</v>
      </c>
      <c r="F30" s="169" t="n">
        <v>68.9</v>
      </c>
      <c r="G30" s="169" t="n">
        <v>70.2</v>
      </c>
      <c r="I30" s="153"/>
      <c r="J30" s="154"/>
    </row>
    <row r="31" customFormat="false" ht="10.5" hidden="false" customHeight="false" outlineLevel="0" collapsed="false">
      <c r="A31" s="138"/>
      <c r="B31" s="138"/>
      <c r="C31" s="138"/>
      <c r="D31" s="138"/>
      <c r="E31" s="138"/>
      <c r="F31" s="138"/>
      <c r="G31" s="138"/>
      <c r="I31" s="153"/>
      <c r="J31" s="154"/>
    </row>
    <row r="32" customFormat="false" ht="10.5" hidden="false" customHeight="false" outlineLevel="0" collapsed="false">
      <c r="A32" s="152" t="s">
        <v>283</v>
      </c>
      <c r="B32" s="155" t="n">
        <v>31.1</v>
      </c>
      <c r="C32" s="155" t="n">
        <v>62.4</v>
      </c>
      <c r="D32" s="155" t="n">
        <v>64.4</v>
      </c>
      <c r="E32" s="155" t="n">
        <v>59.3</v>
      </c>
      <c r="F32" s="155" t="n">
        <v>69.4</v>
      </c>
      <c r="G32" s="155" t="n">
        <v>74.8</v>
      </c>
      <c r="I32" s="153"/>
      <c r="J32" s="154"/>
    </row>
    <row r="33" customFormat="false" ht="10.5" hidden="false" customHeight="false" outlineLevel="0" collapsed="false">
      <c r="A33" s="138"/>
      <c r="B33" s="138"/>
      <c r="C33" s="138"/>
      <c r="D33" s="138"/>
      <c r="E33" s="138"/>
      <c r="F33" s="138"/>
      <c r="G33" s="138"/>
      <c r="I33" s="153"/>
      <c r="J33" s="154"/>
    </row>
    <row r="34" customFormat="false" ht="10.5" hidden="false" customHeight="false" outlineLevel="0" collapsed="false">
      <c r="A34" s="138" t="s">
        <v>284</v>
      </c>
      <c r="B34" s="168" t="n">
        <v>-8.1</v>
      </c>
      <c r="C34" s="168" t="n">
        <v>-4.9</v>
      </c>
      <c r="D34" s="168" t="n">
        <v>-27.7</v>
      </c>
      <c r="E34" s="168" t="n">
        <v>-48.7</v>
      </c>
      <c r="F34" s="168" t="n">
        <v>-47.9</v>
      </c>
      <c r="G34" s="168" t="n">
        <v>-46</v>
      </c>
      <c r="I34" s="153"/>
      <c r="J34" s="154"/>
    </row>
    <row r="35" customFormat="false" ht="10.5" hidden="false" customHeight="false" outlineLevel="0" collapsed="false">
      <c r="A35" s="138" t="s">
        <v>285</v>
      </c>
      <c r="B35" s="168" t="s">
        <v>230</v>
      </c>
      <c r="C35" s="168" t="n">
        <v>1.2</v>
      </c>
      <c r="D35" s="168" t="s">
        <v>230</v>
      </c>
      <c r="E35" s="168" t="s">
        <v>230</v>
      </c>
      <c r="F35" s="168" t="s">
        <v>230</v>
      </c>
      <c r="G35" s="168" t="s">
        <v>230</v>
      </c>
      <c r="I35" s="153"/>
      <c r="J35" s="154"/>
    </row>
    <row r="36" customFormat="false" ht="10.5" hidden="false" customHeight="false" outlineLevel="0" collapsed="false">
      <c r="A36" s="152" t="s">
        <v>286</v>
      </c>
      <c r="B36" s="169" t="n">
        <v>-8.1</v>
      </c>
      <c r="C36" s="169" t="n">
        <v>-3.7</v>
      </c>
      <c r="D36" s="169" t="n">
        <v>-27.7</v>
      </c>
      <c r="E36" s="169" t="n">
        <v>-48.7</v>
      </c>
      <c r="F36" s="169" t="n">
        <v>-47.9</v>
      </c>
      <c r="G36" s="169" t="n">
        <v>-46</v>
      </c>
      <c r="I36" s="162"/>
      <c r="J36" s="163"/>
    </row>
    <row r="37" customFormat="false" ht="10.5" hidden="false" customHeight="false" outlineLevel="0" collapsed="false">
      <c r="A37" s="138"/>
      <c r="B37" s="138"/>
      <c r="C37" s="138"/>
      <c r="D37" s="138"/>
      <c r="E37" s="138"/>
      <c r="F37" s="138"/>
      <c r="G37" s="138"/>
    </row>
    <row r="38" customFormat="false" ht="10.5" hidden="false" customHeight="false" outlineLevel="0" collapsed="false">
      <c r="A38" s="138"/>
      <c r="B38" s="138"/>
      <c r="C38" s="138"/>
      <c r="D38" s="138"/>
      <c r="E38" s="138"/>
      <c r="F38" s="138"/>
      <c r="G38" s="138"/>
    </row>
    <row r="39" customFormat="false" ht="10.5" hidden="false" customHeight="false" outlineLevel="0" collapsed="false">
      <c r="A39" s="138"/>
      <c r="B39" s="138"/>
      <c r="C39" s="138"/>
      <c r="D39" s="138"/>
      <c r="E39" s="138"/>
      <c r="F39" s="138"/>
      <c r="G39" s="138"/>
    </row>
    <row r="40" customFormat="false" ht="10.5" hidden="false" customHeight="false" outlineLevel="0" collapsed="false">
      <c r="A40" s="138" t="s">
        <v>287</v>
      </c>
      <c r="B40" s="168" t="s">
        <v>230</v>
      </c>
      <c r="C40" s="168" t="s">
        <v>230</v>
      </c>
      <c r="D40" s="168" t="s">
        <v>230</v>
      </c>
      <c r="E40" s="168" t="s">
        <v>230</v>
      </c>
      <c r="F40" s="168" t="s">
        <v>230</v>
      </c>
      <c r="G40" s="168" t="n">
        <v>1.5</v>
      </c>
    </row>
    <row r="41" customFormat="false" ht="10.5" hidden="false" customHeight="false" outlineLevel="0" collapsed="false">
      <c r="A41" s="138" t="s">
        <v>288</v>
      </c>
      <c r="B41" s="168" t="n">
        <v>2.5</v>
      </c>
      <c r="C41" s="168" t="s">
        <v>230</v>
      </c>
      <c r="D41" s="168" t="n">
        <v>0.7</v>
      </c>
      <c r="E41" s="168" t="n">
        <v>-3.2</v>
      </c>
      <c r="F41" s="168" t="n">
        <v>-5.7</v>
      </c>
      <c r="G41" s="168" t="n">
        <v>-7.4</v>
      </c>
    </row>
    <row r="42" customFormat="false" ht="10.5" hidden="false" customHeight="false" outlineLevel="0" collapsed="false">
      <c r="A42" s="152" t="s">
        <v>289</v>
      </c>
      <c r="B42" s="169" t="n">
        <v>25.5</v>
      </c>
      <c r="C42" s="169" t="n">
        <v>58.7</v>
      </c>
      <c r="D42" s="169" t="n">
        <v>37.4</v>
      </c>
      <c r="E42" s="169" t="n">
        <v>7.4</v>
      </c>
      <c r="F42" s="169" t="n">
        <v>15.8</v>
      </c>
      <c r="G42" s="169" t="n">
        <v>22.9</v>
      </c>
    </row>
    <row r="43" customFormat="false" ht="10.5" hidden="false" customHeight="false" outlineLevel="0" collapsed="false">
      <c r="A43" s="138"/>
      <c r="B43" s="138"/>
      <c r="C43" s="138"/>
      <c r="D43" s="138"/>
      <c r="E43" s="138"/>
      <c r="F43" s="138"/>
      <c r="G43" s="138"/>
    </row>
    <row r="44" customFormat="false" ht="10.5" hidden="false" customHeight="false" outlineLevel="0" collapsed="false">
      <c r="A44" s="138" t="s">
        <v>290</v>
      </c>
      <c r="B44" s="168" t="n">
        <v>-2.9</v>
      </c>
      <c r="C44" s="168" t="n">
        <v>-10.9</v>
      </c>
      <c r="D44" s="168" t="n">
        <v>0.7</v>
      </c>
      <c r="E44" s="168" t="n">
        <v>-0.5</v>
      </c>
      <c r="F44" s="168" t="s">
        <v>230</v>
      </c>
      <c r="G44" s="168" t="s">
        <v>230</v>
      </c>
    </row>
    <row r="45" customFormat="false" ht="10.5" hidden="false" customHeight="false" outlineLevel="0" collapsed="false">
      <c r="A45" s="138" t="s">
        <v>291</v>
      </c>
      <c r="B45" s="168" t="s">
        <v>230</v>
      </c>
      <c r="C45" s="168" t="s">
        <v>230</v>
      </c>
      <c r="D45" s="168" t="n">
        <v>-23</v>
      </c>
      <c r="E45" s="168" t="n">
        <v>-0.6</v>
      </c>
      <c r="F45" s="168" t="s">
        <v>230</v>
      </c>
      <c r="G45" s="168" t="n">
        <v>-1.4</v>
      </c>
    </row>
    <row r="46" customFormat="false" ht="10.5" hidden="false" customHeight="false" outlineLevel="0" collapsed="false">
      <c r="A46" s="138" t="s">
        <v>292</v>
      </c>
      <c r="B46" s="168" t="s">
        <v>230</v>
      </c>
      <c r="C46" s="168" t="s">
        <v>230</v>
      </c>
      <c r="D46" s="168" t="s">
        <v>230</v>
      </c>
      <c r="E46" s="168" t="s">
        <v>230</v>
      </c>
      <c r="F46" s="168" t="s">
        <v>230</v>
      </c>
      <c r="G46" s="168" t="s">
        <v>230</v>
      </c>
    </row>
    <row r="47" customFormat="false" ht="10.5" hidden="false" customHeight="false" outlineLevel="0" collapsed="false">
      <c r="A47" s="138" t="s">
        <v>293</v>
      </c>
      <c r="B47" s="168" t="s">
        <v>230</v>
      </c>
      <c r="C47" s="168" t="s">
        <v>230</v>
      </c>
      <c r="D47" s="168" t="s">
        <v>230</v>
      </c>
      <c r="E47" s="168" t="s">
        <v>230</v>
      </c>
      <c r="F47" s="168" t="s">
        <v>230</v>
      </c>
      <c r="G47" s="168" t="n">
        <v>2.3</v>
      </c>
    </row>
    <row r="48" customFormat="false" ht="10.5" hidden="false" customHeight="false" outlineLevel="0" collapsed="false">
      <c r="A48" s="138" t="s">
        <v>294</v>
      </c>
      <c r="B48" s="168" t="s">
        <v>230</v>
      </c>
      <c r="C48" s="168" t="n">
        <v>-0.7</v>
      </c>
      <c r="D48" s="168" t="s">
        <v>230</v>
      </c>
      <c r="E48" s="168" t="s">
        <v>230</v>
      </c>
      <c r="F48" s="168" t="s">
        <v>230</v>
      </c>
      <c r="G48" s="168" t="n">
        <v>-0.4</v>
      </c>
    </row>
    <row r="49" customFormat="false" ht="10.5" hidden="false" customHeight="false" outlineLevel="0" collapsed="false">
      <c r="A49" s="152" t="s">
        <v>295</v>
      </c>
      <c r="B49" s="169" t="n">
        <v>22.6</v>
      </c>
      <c r="C49" s="169" t="n">
        <v>47.1</v>
      </c>
      <c r="D49" s="169" t="n">
        <v>15.1</v>
      </c>
      <c r="E49" s="169" t="n">
        <v>6.3</v>
      </c>
      <c r="F49" s="169" t="n">
        <v>15.8</v>
      </c>
      <c r="G49" s="169" t="n">
        <v>23.4</v>
      </c>
    </row>
    <row r="50" customFormat="false" ht="10.5" hidden="false" customHeight="false" outlineLevel="0" collapsed="false">
      <c r="A50" s="138"/>
      <c r="B50" s="138"/>
      <c r="C50" s="138"/>
      <c r="D50" s="138"/>
      <c r="E50" s="138"/>
      <c r="F50" s="138"/>
      <c r="G50" s="138"/>
    </row>
    <row r="51" customFormat="false" ht="10.5" hidden="false" customHeight="false" outlineLevel="0" collapsed="false">
      <c r="A51" s="138" t="s">
        <v>38</v>
      </c>
      <c r="B51" s="168" t="n">
        <v>8.1</v>
      </c>
      <c r="C51" s="168" t="n">
        <v>3.6</v>
      </c>
      <c r="D51" s="168" t="n">
        <v>7.7</v>
      </c>
      <c r="E51" s="168" t="n">
        <v>6.9</v>
      </c>
      <c r="F51" s="168" t="n">
        <v>14.6</v>
      </c>
      <c r="G51" s="168" t="n">
        <v>12.4</v>
      </c>
    </row>
    <row r="52" customFormat="false" ht="10.5" hidden="false" customHeight="false" outlineLevel="0" collapsed="false">
      <c r="A52" s="152" t="s">
        <v>296</v>
      </c>
      <c r="B52" s="169" t="n">
        <v>14.5</v>
      </c>
      <c r="C52" s="169" t="n">
        <v>43.5</v>
      </c>
      <c r="D52" s="169" t="n">
        <v>7.4</v>
      </c>
      <c r="E52" s="169" t="n">
        <v>-0.6</v>
      </c>
      <c r="F52" s="169" t="n">
        <v>1.2</v>
      </c>
      <c r="G52" s="169" t="n">
        <v>11</v>
      </c>
    </row>
    <row r="53" customFormat="false" ht="10.5" hidden="false" customHeight="false" outlineLevel="0" collapsed="false">
      <c r="A53" s="138"/>
      <c r="B53" s="138"/>
      <c r="C53" s="138"/>
      <c r="D53" s="138"/>
      <c r="E53" s="138"/>
      <c r="F53" s="138"/>
      <c r="G53" s="138"/>
    </row>
    <row r="54" customFormat="false" ht="10.5" hidden="false" customHeight="false" outlineLevel="0" collapsed="false">
      <c r="A54" s="138" t="s">
        <v>297</v>
      </c>
      <c r="B54" s="168" t="s">
        <v>230</v>
      </c>
      <c r="C54" s="168" t="s">
        <v>230</v>
      </c>
      <c r="D54" s="168" t="s">
        <v>230</v>
      </c>
      <c r="E54" s="168" t="s">
        <v>230</v>
      </c>
      <c r="F54" s="168" t="s">
        <v>230</v>
      </c>
      <c r="G54" s="168" t="s">
        <v>230</v>
      </c>
    </row>
    <row r="55" customFormat="false" ht="10.5" hidden="false" customHeight="false" outlineLevel="0" collapsed="false">
      <c r="A55" s="138" t="s">
        <v>298</v>
      </c>
      <c r="B55" s="168" t="s">
        <v>230</v>
      </c>
      <c r="C55" s="168" t="s">
        <v>230</v>
      </c>
      <c r="D55" s="168" t="s">
        <v>230</v>
      </c>
      <c r="E55" s="168" t="s">
        <v>230</v>
      </c>
      <c r="F55" s="168" t="s">
        <v>230</v>
      </c>
      <c r="G55" s="168" t="s">
        <v>230</v>
      </c>
    </row>
    <row r="56" customFormat="false" ht="10.5" hidden="false" customHeight="false" outlineLevel="0" collapsed="false">
      <c r="A56" s="152" t="s">
        <v>299</v>
      </c>
      <c r="B56" s="169" t="n">
        <v>14.5</v>
      </c>
      <c r="C56" s="169" t="n">
        <v>43.5</v>
      </c>
      <c r="D56" s="169" t="n">
        <v>7.4</v>
      </c>
      <c r="E56" s="169" t="n">
        <v>-0.6</v>
      </c>
      <c r="F56" s="169" t="n">
        <v>1.2</v>
      </c>
      <c r="G56" s="169" t="n">
        <v>11</v>
      </c>
    </row>
    <row r="57" customFormat="false" ht="10.5" hidden="false" customHeight="false" outlineLevel="0" collapsed="false">
      <c r="A57" s="138"/>
      <c r="B57" s="138"/>
      <c r="C57" s="138"/>
      <c r="D57" s="138"/>
      <c r="E57" s="138"/>
      <c r="F57" s="138"/>
      <c r="G57" s="138"/>
    </row>
    <row r="58" customFormat="false" ht="10.5" hidden="false" customHeight="false" outlineLevel="0" collapsed="false">
      <c r="A58" s="138" t="s">
        <v>300</v>
      </c>
      <c r="B58" s="168" t="n">
        <v>-0.3</v>
      </c>
      <c r="C58" s="168" t="n">
        <v>-0.4</v>
      </c>
      <c r="D58" s="168" t="n">
        <v>-0.3</v>
      </c>
      <c r="E58" s="168" t="n">
        <v>-0.3</v>
      </c>
      <c r="F58" s="168" t="n">
        <v>-0.4</v>
      </c>
      <c r="G58" s="168" t="n">
        <v>-0.5</v>
      </c>
    </row>
    <row r="59" customFormat="false" ht="10.5" hidden="false" customHeight="false" outlineLevel="0" collapsed="false">
      <c r="A59" s="152" t="s">
        <v>301</v>
      </c>
      <c r="B59" s="185" t="n">
        <v>14.2</v>
      </c>
      <c r="C59" s="185" t="n">
        <v>43.1</v>
      </c>
      <c r="D59" s="185" t="n">
        <v>7.1</v>
      </c>
      <c r="E59" s="185" t="n">
        <v>-0.9</v>
      </c>
      <c r="F59" s="185" t="n">
        <v>0.8</v>
      </c>
      <c r="G59" s="185" t="n">
        <v>10.5</v>
      </c>
    </row>
    <row r="60" customFormat="false" ht="10.5" hidden="false" customHeight="false" outlineLevel="0" collapsed="false">
      <c r="A60" s="138"/>
      <c r="B60" s="138"/>
      <c r="C60" s="138"/>
      <c r="D60" s="138"/>
      <c r="E60" s="138"/>
      <c r="F60" s="138"/>
      <c r="G60" s="138"/>
    </row>
    <row r="61" customFormat="false" ht="10.5" hidden="false" customHeight="false" outlineLevel="0" collapsed="false">
      <c r="A61" s="138" t="s">
        <v>302</v>
      </c>
      <c r="B61" s="168" t="s">
        <v>230</v>
      </c>
      <c r="C61" s="168" t="s">
        <v>230</v>
      </c>
      <c r="D61" s="168" t="n">
        <v>31.6</v>
      </c>
      <c r="E61" s="168" t="n">
        <v>0.2</v>
      </c>
      <c r="F61" s="168" t="s">
        <v>230</v>
      </c>
      <c r="G61" s="168" t="s">
        <v>230</v>
      </c>
    </row>
    <row r="62" customFormat="false" ht="10.5" hidden="false" customHeight="false" outlineLevel="0" collapsed="false">
      <c r="A62" s="138"/>
      <c r="B62" s="138"/>
      <c r="C62" s="138"/>
      <c r="D62" s="138"/>
      <c r="E62" s="138"/>
      <c r="F62" s="138"/>
      <c r="G62" s="138"/>
    </row>
    <row r="63" customFormat="false" ht="10.5" hidden="false" customHeight="false" outlineLevel="0" collapsed="false">
      <c r="A63" s="152" t="s">
        <v>303</v>
      </c>
      <c r="B63" s="155" t="n">
        <v>14.2</v>
      </c>
      <c r="C63" s="155" t="n">
        <v>43.1</v>
      </c>
      <c r="D63" s="155" t="n">
        <v>-24.5</v>
      </c>
      <c r="E63" s="155" t="n">
        <v>-1.1</v>
      </c>
      <c r="F63" s="155" t="n">
        <v>0.8</v>
      </c>
      <c r="G63" s="155" t="n">
        <v>10.5</v>
      </c>
    </row>
    <row r="64" customFormat="false" ht="10.5" hidden="false" customHeight="false" outlineLevel="0" collapsed="false">
      <c r="A64" s="152" t="s">
        <v>304</v>
      </c>
      <c r="B64" s="155" t="n">
        <v>14.2</v>
      </c>
      <c r="C64" s="155" t="n">
        <v>43.1</v>
      </c>
      <c r="D64" s="155" t="n">
        <v>-24.5</v>
      </c>
      <c r="E64" s="155" t="n">
        <v>-1.1</v>
      </c>
      <c r="F64" s="155" t="n">
        <v>0.8</v>
      </c>
      <c r="G64" s="155" t="n">
        <v>10.5</v>
      </c>
    </row>
    <row r="65" customFormat="false" ht="10.5" hidden="false" customHeight="false" outlineLevel="0" collapsed="false">
      <c r="A65" s="138"/>
      <c r="B65" s="138"/>
      <c r="C65" s="138"/>
      <c r="D65" s="138"/>
      <c r="E65" s="138"/>
      <c r="F65" s="138"/>
      <c r="G65" s="138"/>
    </row>
    <row r="66" customFormat="false" ht="10.5" hidden="false" customHeight="false" outlineLevel="0" collapsed="false">
      <c r="A66" s="152" t="s">
        <v>305</v>
      </c>
      <c r="B66" s="138"/>
      <c r="C66" s="138"/>
      <c r="D66" s="138"/>
      <c r="E66" s="138"/>
      <c r="F66" s="138"/>
      <c r="G66" s="138"/>
    </row>
    <row r="67" customFormat="false" ht="10.5" hidden="false" customHeight="false" outlineLevel="0" collapsed="false">
      <c r="A67" s="138" t="s">
        <v>306</v>
      </c>
      <c r="B67" s="167" t="s">
        <v>219</v>
      </c>
      <c r="C67" s="167" t="s">
        <v>219</v>
      </c>
      <c r="D67" s="186" t="n">
        <v>-144.12</v>
      </c>
      <c r="E67" s="186" t="n">
        <v>-6.47</v>
      </c>
      <c r="F67" s="186" t="n">
        <v>4.71</v>
      </c>
      <c r="G67" s="186" t="n">
        <v>61.76</v>
      </c>
    </row>
    <row r="68" customFormat="false" ht="10.5" hidden="false" customHeight="false" outlineLevel="0" collapsed="false">
      <c r="A68" s="138" t="s">
        <v>307</v>
      </c>
      <c r="B68" s="167" t="s">
        <v>219</v>
      </c>
      <c r="C68" s="167" t="s">
        <v>219</v>
      </c>
      <c r="D68" s="167" t="n">
        <v>-144.12</v>
      </c>
      <c r="E68" s="167" t="n">
        <v>-6.47</v>
      </c>
      <c r="F68" s="167" t="n">
        <v>4.705882</v>
      </c>
      <c r="G68" s="167" t="n">
        <v>61.764705</v>
      </c>
    </row>
    <row r="69" customFormat="false" ht="10.5" hidden="false" customHeight="false" outlineLevel="0" collapsed="false">
      <c r="A69" s="138" t="s">
        <v>308</v>
      </c>
      <c r="B69" s="168" t="s">
        <v>219</v>
      </c>
      <c r="C69" s="168" t="s">
        <v>219</v>
      </c>
      <c r="D69" s="168" t="n">
        <v>0.17</v>
      </c>
      <c r="E69" s="168" t="n">
        <v>0.17</v>
      </c>
      <c r="F69" s="168" t="n">
        <v>0.17</v>
      </c>
      <c r="G69" s="168" t="n">
        <v>0.17</v>
      </c>
    </row>
    <row r="70" customFormat="false" ht="10.5" hidden="false" customHeight="false" outlineLevel="0" collapsed="false">
      <c r="A70" s="138"/>
      <c r="B70" s="138"/>
      <c r="C70" s="138"/>
      <c r="D70" s="138"/>
      <c r="E70" s="138"/>
      <c r="F70" s="138"/>
      <c r="G70" s="138"/>
    </row>
    <row r="71" customFormat="false" ht="10.5" hidden="false" customHeight="false" outlineLevel="0" collapsed="false">
      <c r="A71" s="138" t="s">
        <v>309</v>
      </c>
      <c r="B71" s="167" t="s">
        <v>219</v>
      </c>
      <c r="C71" s="167" t="s">
        <v>219</v>
      </c>
      <c r="D71" s="186" t="n">
        <v>-144.12</v>
      </c>
      <c r="E71" s="186" t="n">
        <v>-6.47</v>
      </c>
      <c r="F71" s="186" t="n">
        <v>4.71</v>
      </c>
      <c r="G71" s="186" t="n">
        <v>61.76</v>
      </c>
    </row>
    <row r="72" customFormat="false" ht="10.5" hidden="false" customHeight="false" outlineLevel="0" collapsed="false">
      <c r="A72" s="138" t="s">
        <v>310</v>
      </c>
      <c r="B72" s="167" t="s">
        <v>219</v>
      </c>
      <c r="C72" s="167" t="s">
        <v>219</v>
      </c>
      <c r="D72" s="167" t="n">
        <v>-144.12</v>
      </c>
      <c r="E72" s="167" t="n">
        <v>-6.47</v>
      </c>
      <c r="F72" s="167" t="n">
        <v>4.705882</v>
      </c>
      <c r="G72" s="167" t="n">
        <v>61.764705</v>
      </c>
    </row>
    <row r="73" customFormat="false" ht="10.5" hidden="false" customHeight="false" outlineLevel="0" collapsed="false">
      <c r="A73" s="138" t="s">
        <v>311</v>
      </c>
      <c r="B73" s="168" t="s">
        <v>219</v>
      </c>
      <c r="C73" s="168" t="s">
        <v>219</v>
      </c>
      <c r="D73" s="168" t="n">
        <v>0.17</v>
      </c>
      <c r="E73" s="168" t="n">
        <v>0.17</v>
      </c>
      <c r="F73" s="168" t="n">
        <v>0.17</v>
      </c>
      <c r="G73" s="168" t="n">
        <v>0.17</v>
      </c>
    </row>
    <row r="74" customFormat="false" ht="10.5" hidden="false" customHeight="false" outlineLevel="0" collapsed="false">
      <c r="A74" s="138"/>
      <c r="B74" s="138"/>
      <c r="C74" s="138"/>
      <c r="D74" s="138"/>
      <c r="E74" s="138"/>
      <c r="F74" s="138"/>
      <c r="G74" s="138"/>
    </row>
    <row r="75" customFormat="false" ht="10.5" hidden="false" customHeight="false" outlineLevel="0" collapsed="false">
      <c r="A75" s="138" t="s">
        <v>312</v>
      </c>
      <c r="B75" s="167" t="s">
        <v>219</v>
      </c>
      <c r="C75" s="167" t="s">
        <v>219</v>
      </c>
      <c r="D75" s="186" t="n">
        <v>135.74</v>
      </c>
      <c r="E75" s="186" t="n">
        <v>25.44</v>
      </c>
      <c r="F75" s="186" t="n">
        <v>55.74</v>
      </c>
      <c r="G75" s="186" t="n">
        <v>81.25</v>
      </c>
    </row>
    <row r="76" customFormat="false" ht="10.5" hidden="false" customHeight="false" outlineLevel="0" collapsed="false">
      <c r="A76" s="138" t="s">
        <v>313</v>
      </c>
      <c r="B76" s="167" t="s">
        <v>219</v>
      </c>
      <c r="C76" s="167" t="s">
        <v>219</v>
      </c>
      <c r="D76" s="167" t="n">
        <v>135.735294</v>
      </c>
      <c r="E76" s="167" t="n">
        <v>25.441176</v>
      </c>
      <c r="F76" s="167" t="n">
        <v>55.735294</v>
      </c>
      <c r="G76" s="167" t="n">
        <v>81.25</v>
      </c>
    </row>
    <row r="77" customFormat="false" ht="10.5" hidden="false" customHeight="false" outlineLevel="0" collapsed="false">
      <c r="A77" s="138"/>
      <c r="B77" s="138"/>
      <c r="C77" s="138"/>
      <c r="D77" s="138"/>
      <c r="E77" s="138"/>
      <c r="F77" s="138"/>
      <c r="G77" s="138"/>
    </row>
    <row r="78" customFormat="false" ht="10.5" hidden="false" customHeight="false" outlineLevel="0" collapsed="false">
      <c r="A78" s="138" t="s">
        <v>314</v>
      </c>
      <c r="B78" s="167" t="s">
        <v>219</v>
      </c>
      <c r="C78" s="167" t="s">
        <v>219</v>
      </c>
      <c r="D78" s="167" t="s">
        <v>219</v>
      </c>
      <c r="E78" s="167" t="s">
        <v>219</v>
      </c>
      <c r="F78" s="167" t="s">
        <v>219</v>
      </c>
      <c r="G78" s="167" t="s">
        <v>219</v>
      </c>
    </row>
    <row r="79" customFormat="false" ht="10.5" hidden="false" customHeight="false" outlineLevel="0" collapsed="false">
      <c r="A79" s="138" t="s">
        <v>315</v>
      </c>
      <c r="B79" s="173" t="s">
        <v>219</v>
      </c>
      <c r="C79" s="187" t="n">
        <v>0.25522</v>
      </c>
      <c r="D79" s="187" t="n">
        <v>1.816901</v>
      </c>
      <c r="E79" s="173" t="s">
        <v>219</v>
      </c>
      <c r="F79" s="187" t="n">
        <v>2.25</v>
      </c>
      <c r="G79" s="187" t="n">
        <v>0.67619</v>
      </c>
    </row>
    <row r="80" customFormat="false" ht="10.5" hidden="false" customHeight="false" outlineLevel="0" collapsed="false">
      <c r="A80" s="138"/>
      <c r="B80" s="138"/>
      <c r="C80" s="138"/>
      <c r="D80" s="138"/>
      <c r="E80" s="138"/>
      <c r="F80" s="138"/>
      <c r="G80" s="138"/>
    </row>
    <row r="81" customFormat="false" ht="10.5" hidden="false" customHeight="false" outlineLevel="0" collapsed="false">
      <c r="A81" s="152" t="s">
        <v>316</v>
      </c>
      <c r="B81" s="138"/>
      <c r="C81" s="138"/>
      <c r="D81" s="138"/>
      <c r="E81" s="138"/>
      <c r="F81" s="138"/>
      <c r="G81" s="138"/>
    </row>
    <row r="82" customFormat="false" ht="10.5" hidden="false" customHeight="false" outlineLevel="0" collapsed="false">
      <c r="A82" s="138" t="s">
        <v>5</v>
      </c>
      <c r="B82" s="168" t="n">
        <v>49.2</v>
      </c>
      <c r="C82" s="168" t="n">
        <v>78.3</v>
      </c>
      <c r="D82" s="168" t="n">
        <v>86.5</v>
      </c>
      <c r="E82" s="168" t="n">
        <v>91.7</v>
      </c>
      <c r="F82" s="168" t="n">
        <v>103.9</v>
      </c>
      <c r="G82" s="168" t="n">
        <v>113</v>
      </c>
    </row>
    <row r="83" customFormat="false" ht="10.5" hidden="false" customHeight="false" outlineLevel="0" collapsed="false">
      <c r="A83" s="138" t="s">
        <v>317</v>
      </c>
      <c r="B83" s="168" t="n">
        <v>35.5</v>
      </c>
      <c r="C83" s="168" t="n">
        <v>66.6</v>
      </c>
      <c r="D83" s="168" t="n">
        <v>73.7</v>
      </c>
      <c r="E83" s="168" t="n">
        <v>75.2</v>
      </c>
      <c r="F83" s="168" t="n">
        <v>85.2</v>
      </c>
      <c r="G83" s="168" t="n">
        <v>90.4</v>
      </c>
    </row>
    <row r="84" customFormat="false" ht="10.5" hidden="false" customHeight="false" outlineLevel="0" collapsed="false">
      <c r="A84" s="138" t="s">
        <v>222</v>
      </c>
      <c r="B84" s="168" t="n">
        <v>31.1</v>
      </c>
      <c r="C84" s="168" t="n">
        <v>62.4</v>
      </c>
      <c r="D84" s="168" t="n">
        <v>64.4</v>
      </c>
      <c r="E84" s="168" t="n">
        <v>59.3</v>
      </c>
      <c r="F84" s="168" t="n">
        <v>69.4</v>
      </c>
      <c r="G84" s="168" t="n">
        <v>74.8</v>
      </c>
    </row>
    <row r="85" customFormat="false" ht="10.5" hidden="false" customHeight="false" outlineLevel="0" collapsed="false">
      <c r="A85" s="138" t="s">
        <v>318</v>
      </c>
      <c r="B85" s="168" t="n">
        <v>53.4</v>
      </c>
      <c r="C85" s="168" t="n">
        <v>82.9</v>
      </c>
      <c r="D85" s="168" t="n">
        <v>92.3</v>
      </c>
      <c r="E85" s="168" t="n">
        <v>98.4</v>
      </c>
      <c r="F85" s="168" t="n">
        <v>112.1</v>
      </c>
      <c r="G85" s="168" t="s">
        <v>219</v>
      </c>
    </row>
    <row r="86" customFormat="false" ht="10.5" hidden="false" customHeight="false" outlineLevel="0" collapsed="false">
      <c r="A86" s="138" t="s">
        <v>319</v>
      </c>
      <c r="B86" s="187" t="n">
        <v>0.358407</v>
      </c>
      <c r="C86" s="187" t="n">
        <v>0.076433</v>
      </c>
      <c r="D86" s="187" t="n">
        <v>0.509933</v>
      </c>
      <c r="E86" s="187" t="n">
        <v>1.095238</v>
      </c>
      <c r="F86" s="187" t="n">
        <v>0.92405</v>
      </c>
      <c r="G86" s="187" t="n">
        <v>0.529914</v>
      </c>
    </row>
    <row r="87" customFormat="false" ht="10.5" hidden="false" customHeight="false" outlineLevel="0" collapsed="false">
      <c r="A87" s="138" t="s">
        <v>320</v>
      </c>
      <c r="B87" s="168" t="n">
        <v>1</v>
      </c>
      <c r="C87" s="168" t="n">
        <v>0.4</v>
      </c>
      <c r="D87" s="168" t="n">
        <v>1.1</v>
      </c>
      <c r="E87" s="168" t="n">
        <v>0.4</v>
      </c>
      <c r="F87" s="168" t="n">
        <v>1.2</v>
      </c>
      <c r="G87" s="168" t="n">
        <v>1.2</v>
      </c>
    </row>
    <row r="88" customFormat="false" ht="10.5" hidden="false" customHeight="false" outlineLevel="0" collapsed="false">
      <c r="A88" s="138" t="s">
        <v>321</v>
      </c>
      <c r="B88" s="168" t="n">
        <v>6</v>
      </c>
      <c r="C88" s="168" t="n">
        <v>2.6</v>
      </c>
      <c r="D88" s="168" t="n">
        <v>13.1</v>
      </c>
      <c r="E88" s="168" t="n">
        <v>11.1</v>
      </c>
      <c r="F88" s="168" t="n">
        <v>15.6</v>
      </c>
      <c r="G88" s="168" t="n">
        <v>15.6</v>
      </c>
    </row>
    <row r="89" customFormat="false" ht="10.5" hidden="false" customHeight="false" outlineLevel="0" collapsed="false">
      <c r="A89" s="138" t="s">
        <v>322</v>
      </c>
      <c r="B89" s="168" t="n">
        <v>7</v>
      </c>
      <c r="C89" s="168" t="n">
        <v>3</v>
      </c>
      <c r="D89" s="168" t="n">
        <v>14.2</v>
      </c>
      <c r="E89" s="168" t="n">
        <v>11.5</v>
      </c>
      <c r="F89" s="168" t="n">
        <v>16.8</v>
      </c>
      <c r="G89" s="168" t="n">
        <v>16.8</v>
      </c>
    </row>
    <row r="90" customFormat="false" ht="10.5" hidden="false" customHeight="false" outlineLevel="0" collapsed="false">
      <c r="A90" s="138" t="s">
        <v>323</v>
      </c>
      <c r="B90" s="168" t="n">
        <v>-2.8</v>
      </c>
      <c r="C90" s="168" t="n">
        <v>-3.4</v>
      </c>
      <c r="D90" s="168" t="n">
        <v>-4.9</v>
      </c>
      <c r="E90" s="168" t="n">
        <v>-0.7</v>
      </c>
      <c r="F90" s="168" t="n">
        <v>0.1</v>
      </c>
      <c r="G90" s="168" t="n">
        <v>0.1</v>
      </c>
    </row>
    <row r="91" customFormat="false" ht="10.5" hidden="false" customHeight="false" outlineLevel="0" collapsed="false">
      <c r="A91" s="138" t="s">
        <v>324</v>
      </c>
      <c r="B91" s="168" t="n">
        <v>3.9</v>
      </c>
      <c r="C91" s="168" t="n">
        <v>4</v>
      </c>
      <c r="D91" s="168" t="n">
        <v>-1.6</v>
      </c>
      <c r="E91" s="168" t="n">
        <v>-3.9</v>
      </c>
      <c r="F91" s="168" t="n">
        <v>-2.3</v>
      </c>
      <c r="G91" s="168" t="n">
        <v>-2.3</v>
      </c>
    </row>
    <row r="92" customFormat="false" ht="10.5" hidden="false" customHeight="false" outlineLevel="0" collapsed="false">
      <c r="A92" s="138" t="s">
        <v>325</v>
      </c>
      <c r="B92" s="168" t="n">
        <v>1.1</v>
      </c>
      <c r="C92" s="168" t="n">
        <v>0.6</v>
      </c>
      <c r="D92" s="168" t="n">
        <v>-6.5</v>
      </c>
      <c r="E92" s="168" t="n">
        <v>-4.6</v>
      </c>
      <c r="F92" s="168" t="n">
        <v>-2.2</v>
      </c>
      <c r="G92" s="168" t="n">
        <v>-2.2</v>
      </c>
    </row>
    <row r="93" customFormat="false" ht="10.5" hidden="false" customHeight="false" outlineLevel="0" collapsed="false">
      <c r="A93" s="138"/>
      <c r="B93" s="138"/>
      <c r="C93" s="138"/>
      <c r="D93" s="138"/>
      <c r="E93" s="138"/>
      <c r="F93" s="138"/>
      <c r="G93" s="138"/>
    </row>
    <row r="94" customFormat="false" ht="10.5" hidden="false" customHeight="false" outlineLevel="0" collapsed="false">
      <c r="A94" s="138" t="s">
        <v>326</v>
      </c>
      <c r="B94" s="168" t="n">
        <v>15.6375</v>
      </c>
      <c r="C94" s="168" t="n">
        <v>36.2875</v>
      </c>
      <c r="D94" s="168" t="n">
        <v>23.075</v>
      </c>
      <c r="E94" s="168" t="n">
        <v>4.325</v>
      </c>
      <c r="F94" s="168" t="n">
        <v>9.475</v>
      </c>
      <c r="G94" s="168" t="n">
        <v>13.8125</v>
      </c>
    </row>
    <row r="95" customFormat="false" ht="10.5" hidden="false" customHeight="false" outlineLevel="0" collapsed="false">
      <c r="A95" s="138" t="s">
        <v>327</v>
      </c>
      <c r="B95" s="168" t="n">
        <v>7.9</v>
      </c>
      <c r="C95" s="168" t="s">
        <v>219</v>
      </c>
      <c r="D95" s="168" t="s">
        <v>219</v>
      </c>
      <c r="E95" s="168" t="n">
        <v>35.9</v>
      </c>
      <c r="F95" s="168" t="n">
        <v>35.2</v>
      </c>
      <c r="G95" s="168" t="s">
        <v>219</v>
      </c>
    </row>
    <row r="96" customFormat="false" ht="10.5" hidden="false" customHeight="false" outlineLevel="0" collapsed="false">
      <c r="A96" s="138" t="s">
        <v>328</v>
      </c>
      <c r="B96" s="168" t="n">
        <v>1.2</v>
      </c>
      <c r="C96" s="168" t="n">
        <v>1</v>
      </c>
      <c r="D96" s="168" t="n">
        <v>0.5</v>
      </c>
      <c r="E96" s="168" t="n">
        <v>0.9</v>
      </c>
      <c r="F96" s="168" t="n">
        <v>0.6</v>
      </c>
      <c r="G96" s="168" t="s">
        <v>230</v>
      </c>
    </row>
    <row r="97" customFormat="false" ht="10.5" hidden="false" customHeight="false" outlineLevel="0" collapsed="false">
      <c r="A97" s="138" t="s">
        <v>329</v>
      </c>
      <c r="B97" s="188" t="n">
        <v>41088</v>
      </c>
      <c r="C97" s="188" t="n">
        <v>41348</v>
      </c>
      <c r="D97" s="188" t="n">
        <v>41712</v>
      </c>
      <c r="E97" s="188" t="n">
        <v>41712</v>
      </c>
      <c r="F97" s="188" t="n">
        <v>41712</v>
      </c>
      <c r="G97" s="188" t="n">
        <v>41957</v>
      </c>
    </row>
    <row r="98" customFormat="false" ht="10.5" hidden="false" customHeight="false" outlineLevel="0" collapsed="false">
      <c r="A98" s="138" t="s">
        <v>330</v>
      </c>
      <c r="B98" s="173" t="s">
        <v>331</v>
      </c>
      <c r="C98" s="173" t="s">
        <v>332</v>
      </c>
      <c r="D98" s="173" t="s">
        <v>333</v>
      </c>
      <c r="E98" s="173" t="s">
        <v>332</v>
      </c>
      <c r="F98" s="173" t="s">
        <v>334</v>
      </c>
      <c r="G98" s="173" t="s">
        <v>334</v>
      </c>
    </row>
    <row r="99" customFormat="false" ht="10.5" hidden="false" customHeight="false" outlineLevel="0" collapsed="false">
      <c r="A99" s="138" t="s">
        <v>335</v>
      </c>
      <c r="B99" s="173" t="s">
        <v>336</v>
      </c>
      <c r="C99" s="173" t="s">
        <v>336</v>
      </c>
      <c r="D99" s="173" t="s">
        <v>336</v>
      </c>
      <c r="E99" s="173" t="s">
        <v>336</v>
      </c>
      <c r="F99" s="173" t="s">
        <v>336</v>
      </c>
      <c r="G99" s="173" t="s">
        <v>337</v>
      </c>
    </row>
    <row r="100" customFormat="false" ht="10.5" hidden="false" customHeight="false" outlineLevel="0" collapsed="false">
      <c r="A100" s="138"/>
      <c r="B100" s="138"/>
      <c r="C100" s="138"/>
      <c r="D100" s="138"/>
      <c r="E100" s="138"/>
      <c r="F100" s="138"/>
      <c r="G100" s="138"/>
    </row>
    <row r="101" customFormat="false" ht="10.5" hidden="false" customHeight="false" outlineLevel="0" collapsed="false">
      <c r="A101" s="152" t="s">
        <v>338</v>
      </c>
      <c r="B101" s="138"/>
      <c r="C101" s="138"/>
      <c r="D101" s="138"/>
      <c r="E101" s="138"/>
      <c r="F101" s="138"/>
      <c r="G101" s="138"/>
    </row>
    <row r="102" customFormat="false" ht="10.5" hidden="false" customHeight="false" outlineLevel="0" collapsed="false">
      <c r="A102" s="138" t="s">
        <v>339</v>
      </c>
      <c r="B102" s="168" t="s">
        <v>219</v>
      </c>
      <c r="C102" s="168" t="s">
        <v>219</v>
      </c>
      <c r="D102" s="168" t="s">
        <v>219</v>
      </c>
      <c r="E102" s="168" t="s">
        <v>219</v>
      </c>
      <c r="F102" s="168" t="s">
        <v>219</v>
      </c>
      <c r="G102" s="168" t="n">
        <v>-1.3</v>
      </c>
    </row>
    <row r="103" customFormat="false" ht="10.5" hidden="false" customHeight="false" outlineLevel="0" collapsed="false">
      <c r="A103" s="138" t="s">
        <v>340</v>
      </c>
      <c r="B103" s="168" t="s">
        <v>219</v>
      </c>
      <c r="C103" s="168" t="s">
        <v>219</v>
      </c>
      <c r="D103" s="168" t="s">
        <v>219</v>
      </c>
      <c r="E103" s="168" t="n">
        <v>3.5</v>
      </c>
      <c r="F103" s="168" t="n">
        <v>3.6</v>
      </c>
      <c r="G103" s="168" t="n">
        <v>6.3</v>
      </c>
    </row>
    <row r="104" customFormat="false" ht="10.5" hidden="false" customHeight="false" outlineLevel="0" collapsed="false">
      <c r="A104" s="138" t="s">
        <v>341</v>
      </c>
      <c r="B104" s="168" t="n">
        <v>4.2</v>
      </c>
      <c r="C104" s="168" t="n">
        <v>4.6</v>
      </c>
      <c r="D104" s="168" t="n">
        <v>5.8</v>
      </c>
      <c r="E104" s="168" t="n">
        <v>6.7</v>
      </c>
      <c r="F104" s="168" t="n">
        <v>8.2</v>
      </c>
      <c r="G104" s="168" t="s">
        <v>219</v>
      </c>
    </row>
    <row r="105" customFormat="false" ht="10.5" hidden="false" customHeight="false" outlineLevel="0" collapsed="false">
      <c r="A105" s="138" t="s">
        <v>342</v>
      </c>
      <c r="B105" s="168" t="s">
        <v>230</v>
      </c>
      <c r="C105" s="168" t="n">
        <v>1.686802</v>
      </c>
      <c r="D105" s="168" t="n">
        <v>5.183622</v>
      </c>
      <c r="E105" s="168" t="n">
        <v>6.004165</v>
      </c>
      <c r="F105" s="168" t="n">
        <v>7.070696</v>
      </c>
      <c r="G105" s="168" t="s">
        <v>230</v>
      </c>
    </row>
    <row r="106" customFormat="false" ht="10.5" hidden="false" customHeight="false" outlineLevel="0" collapsed="false">
      <c r="A106" s="138" t="s">
        <v>343</v>
      </c>
      <c r="B106" s="168" t="s">
        <v>230</v>
      </c>
      <c r="C106" s="168" t="n">
        <v>2.913198</v>
      </c>
      <c r="D106" s="168" t="n">
        <v>0.616378</v>
      </c>
      <c r="E106" s="168" t="n">
        <v>0.695835</v>
      </c>
      <c r="F106" s="168" t="n">
        <v>1.129304</v>
      </c>
      <c r="G106" s="168" t="s">
        <v>230</v>
      </c>
    </row>
    <row r="107" customFormat="false" ht="10.5" hidden="false" customHeight="false" outlineLevel="0" collapsed="false">
      <c r="A107" s="138"/>
      <c r="B107" s="138"/>
      <c r="C107" s="138"/>
      <c r="D107" s="138"/>
      <c r="E107" s="138"/>
      <c r="F107" s="138"/>
      <c r="G107" s="138"/>
    </row>
    <row r="108" customFormat="false" ht="10.5" hidden="false" customHeight="false" outlineLevel="0" collapsed="false">
      <c r="A108" s="164"/>
      <c r="B108" s="164"/>
      <c r="C108" s="164"/>
      <c r="D108" s="164"/>
      <c r="E108" s="164"/>
      <c r="F108" s="164"/>
      <c r="G108" s="164"/>
    </row>
    <row r="109" customFormat="false" ht="10.5" hidden="false" customHeight="false" outlineLevel="0" collapsed="false">
      <c r="A109" s="134" t="s">
        <v>344</v>
      </c>
    </row>
    <row r="110" customFormat="false" ht="55.2" hidden="false" customHeight="false" outlineLevel="0" collapsed="false">
      <c r="A110" s="174" t="s">
        <v>254</v>
      </c>
    </row>
  </sheetData>
  <printOptions headings="false" gridLines="false" gridLinesSet="true" horizontalCentered="false" verticalCentered="false"/>
  <pageMargins left="0.2" right="0.2" top="0.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false"/>
  </sheetPr>
  <dimension ref="A5:IV101"/>
  <sheetViews>
    <sheetView showFormulas="false" showGridLines="true" showRowColHeaders="true" showZeros="true" rightToLeft="false" tabSelected="false" showOutlineSymbols="true" defaultGridColor="true" view="normal" topLeftCell="B39" colorId="64" zoomScale="100" zoomScaleNormal="100" zoomScalePageLayoutView="100" workbookViewId="0">
      <selection pane="topLeft" activeCell="H32" activeCellId="0" sqref="H32"/>
    </sheetView>
  </sheetViews>
  <sheetFormatPr defaultColWidth="8.83203125" defaultRowHeight="10.5" zeroHeight="false" outlineLevelRow="0" outlineLevelCol="0"/>
  <cols>
    <col collapsed="false" customWidth="true" hidden="false" outlineLevel="0" max="1" min="1" style="134" width="45.83"/>
    <col collapsed="false" customWidth="true" hidden="false" outlineLevel="0" max="7" min="2" style="134" width="14.83"/>
    <col collapsed="false" customWidth="false" hidden="false" outlineLevel="0" max="9" min="8" style="134" width="8.83"/>
    <col collapsed="false" customWidth="true" hidden="false" outlineLevel="0" max="10" min="10" style="134" width="11.16"/>
    <col collapsed="false" customWidth="true" hidden="false" outlineLevel="0" max="11" min="11" style="134" width="10.16"/>
    <col collapsed="false" customWidth="true" hidden="false" outlineLevel="0" max="12" min="12" style="134" width="10.33"/>
    <col collapsed="false" customWidth="false" hidden="false" outlineLevel="0" max="257" min="13" style="134" width="8.83"/>
    <col collapsed="false" customWidth="true" hidden="false" outlineLevel="0" max="258" min="258" style="134" width="45.83"/>
    <col collapsed="false" customWidth="true" hidden="false" outlineLevel="0" max="264" min="259" style="134" width="14.83"/>
    <col collapsed="false" customWidth="false" hidden="false" outlineLevel="0" max="513" min="265" style="134" width="8.83"/>
    <col collapsed="false" customWidth="true" hidden="false" outlineLevel="0" max="514" min="514" style="134" width="45.83"/>
    <col collapsed="false" customWidth="true" hidden="false" outlineLevel="0" max="520" min="515" style="134" width="14.83"/>
    <col collapsed="false" customWidth="false" hidden="false" outlineLevel="0" max="769" min="521" style="134" width="8.83"/>
    <col collapsed="false" customWidth="true" hidden="false" outlineLevel="0" max="770" min="770" style="134" width="45.83"/>
    <col collapsed="false" customWidth="true" hidden="false" outlineLevel="0" max="776" min="771" style="134" width="14.83"/>
    <col collapsed="false" customWidth="false" hidden="false" outlineLevel="0" max="1025" min="777" style="134" width="8.83"/>
    <col collapsed="false" customWidth="true" hidden="false" outlineLevel="0" max="1026" min="1026" style="134" width="45.83"/>
    <col collapsed="false" customWidth="true" hidden="false" outlineLevel="0" max="1032" min="1027" style="134" width="14.83"/>
    <col collapsed="false" customWidth="false" hidden="false" outlineLevel="0" max="1281" min="1033" style="134" width="8.83"/>
    <col collapsed="false" customWidth="true" hidden="false" outlineLevel="0" max="1282" min="1282" style="134" width="45.83"/>
    <col collapsed="false" customWidth="true" hidden="false" outlineLevel="0" max="1288" min="1283" style="134" width="14.83"/>
    <col collapsed="false" customWidth="false" hidden="false" outlineLevel="0" max="1537" min="1289" style="134" width="8.83"/>
    <col collapsed="false" customWidth="true" hidden="false" outlineLevel="0" max="1538" min="1538" style="134" width="45.83"/>
    <col collapsed="false" customWidth="true" hidden="false" outlineLevel="0" max="1544" min="1539" style="134" width="14.83"/>
    <col collapsed="false" customWidth="false" hidden="false" outlineLevel="0" max="1793" min="1545" style="134" width="8.83"/>
    <col collapsed="false" customWidth="true" hidden="false" outlineLevel="0" max="1794" min="1794" style="134" width="45.83"/>
    <col collapsed="false" customWidth="true" hidden="false" outlineLevel="0" max="1800" min="1795" style="134" width="14.83"/>
    <col collapsed="false" customWidth="false" hidden="false" outlineLevel="0" max="2049" min="1801" style="134" width="8.83"/>
    <col collapsed="false" customWidth="true" hidden="false" outlineLevel="0" max="2050" min="2050" style="134" width="45.83"/>
    <col collapsed="false" customWidth="true" hidden="false" outlineLevel="0" max="2056" min="2051" style="134" width="14.83"/>
    <col collapsed="false" customWidth="false" hidden="false" outlineLevel="0" max="2305" min="2057" style="134" width="8.83"/>
    <col collapsed="false" customWidth="true" hidden="false" outlineLevel="0" max="2306" min="2306" style="134" width="45.83"/>
    <col collapsed="false" customWidth="true" hidden="false" outlineLevel="0" max="2312" min="2307" style="134" width="14.83"/>
    <col collapsed="false" customWidth="false" hidden="false" outlineLevel="0" max="2561" min="2313" style="134" width="8.83"/>
    <col collapsed="false" customWidth="true" hidden="false" outlineLevel="0" max="2562" min="2562" style="134" width="45.83"/>
    <col collapsed="false" customWidth="true" hidden="false" outlineLevel="0" max="2568" min="2563" style="134" width="14.83"/>
    <col collapsed="false" customWidth="false" hidden="false" outlineLevel="0" max="2817" min="2569" style="134" width="8.83"/>
    <col collapsed="false" customWidth="true" hidden="false" outlineLevel="0" max="2818" min="2818" style="134" width="45.83"/>
    <col collapsed="false" customWidth="true" hidden="false" outlineLevel="0" max="2824" min="2819" style="134" width="14.83"/>
    <col collapsed="false" customWidth="false" hidden="false" outlineLevel="0" max="3073" min="2825" style="134" width="8.83"/>
    <col collapsed="false" customWidth="true" hidden="false" outlineLevel="0" max="3074" min="3074" style="134" width="45.83"/>
    <col collapsed="false" customWidth="true" hidden="false" outlineLevel="0" max="3080" min="3075" style="134" width="14.83"/>
    <col collapsed="false" customWidth="false" hidden="false" outlineLevel="0" max="3329" min="3081" style="134" width="8.83"/>
    <col collapsed="false" customWidth="true" hidden="false" outlineLevel="0" max="3330" min="3330" style="134" width="45.83"/>
    <col collapsed="false" customWidth="true" hidden="false" outlineLevel="0" max="3336" min="3331" style="134" width="14.83"/>
    <col collapsed="false" customWidth="false" hidden="false" outlineLevel="0" max="3585" min="3337" style="134" width="8.83"/>
    <col collapsed="false" customWidth="true" hidden="false" outlineLevel="0" max="3586" min="3586" style="134" width="45.83"/>
    <col collapsed="false" customWidth="true" hidden="false" outlineLevel="0" max="3592" min="3587" style="134" width="14.83"/>
    <col collapsed="false" customWidth="false" hidden="false" outlineLevel="0" max="3841" min="3593" style="134" width="8.83"/>
    <col collapsed="false" customWidth="true" hidden="false" outlineLevel="0" max="3842" min="3842" style="134" width="45.83"/>
    <col collapsed="false" customWidth="true" hidden="false" outlineLevel="0" max="3848" min="3843" style="134" width="14.83"/>
    <col collapsed="false" customWidth="false" hidden="false" outlineLevel="0" max="4097" min="3849" style="134" width="8.83"/>
    <col collapsed="false" customWidth="true" hidden="false" outlineLevel="0" max="4098" min="4098" style="134" width="45.83"/>
    <col collapsed="false" customWidth="true" hidden="false" outlineLevel="0" max="4104" min="4099" style="134" width="14.83"/>
    <col collapsed="false" customWidth="false" hidden="false" outlineLevel="0" max="4353" min="4105" style="134" width="8.83"/>
    <col collapsed="false" customWidth="true" hidden="false" outlineLevel="0" max="4354" min="4354" style="134" width="45.83"/>
    <col collapsed="false" customWidth="true" hidden="false" outlineLevel="0" max="4360" min="4355" style="134" width="14.83"/>
    <col collapsed="false" customWidth="false" hidden="false" outlineLevel="0" max="4609" min="4361" style="134" width="8.83"/>
    <col collapsed="false" customWidth="true" hidden="false" outlineLevel="0" max="4610" min="4610" style="134" width="45.83"/>
    <col collapsed="false" customWidth="true" hidden="false" outlineLevel="0" max="4616" min="4611" style="134" width="14.83"/>
    <col collapsed="false" customWidth="false" hidden="false" outlineLevel="0" max="4865" min="4617" style="134" width="8.83"/>
    <col collapsed="false" customWidth="true" hidden="false" outlineLevel="0" max="4866" min="4866" style="134" width="45.83"/>
    <col collapsed="false" customWidth="true" hidden="false" outlineLevel="0" max="4872" min="4867" style="134" width="14.83"/>
    <col collapsed="false" customWidth="false" hidden="false" outlineLevel="0" max="5121" min="4873" style="134" width="8.83"/>
    <col collapsed="false" customWidth="true" hidden="false" outlineLevel="0" max="5122" min="5122" style="134" width="45.83"/>
    <col collapsed="false" customWidth="true" hidden="false" outlineLevel="0" max="5128" min="5123" style="134" width="14.83"/>
    <col collapsed="false" customWidth="false" hidden="false" outlineLevel="0" max="5377" min="5129" style="134" width="8.83"/>
    <col collapsed="false" customWidth="true" hidden="false" outlineLevel="0" max="5378" min="5378" style="134" width="45.83"/>
    <col collapsed="false" customWidth="true" hidden="false" outlineLevel="0" max="5384" min="5379" style="134" width="14.83"/>
    <col collapsed="false" customWidth="false" hidden="false" outlineLevel="0" max="5633" min="5385" style="134" width="8.83"/>
    <col collapsed="false" customWidth="true" hidden="false" outlineLevel="0" max="5634" min="5634" style="134" width="45.83"/>
    <col collapsed="false" customWidth="true" hidden="false" outlineLevel="0" max="5640" min="5635" style="134" width="14.83"/>
    <col collapsed="false" customWidth="false" hidden="false" outlineLevel="0" max="5889" min="5641" style="134" width="8.83"/>
    <col collapsed="false" customWidth="true" hidden="false" outlineLevel="0" max="5890" min="5890" style="134" width="45.83"/>
    <col collapsed="false" customWidth="true" hidden="false" outlineLevel="0" max="5896" min="5891" style="134" width="14.83"/>
    <col collapsed="false" customWidth="false" hidden="false" outlineLevel="0" max="6145" min="5897" style="134" width="8.83"/>
    <col collapsed="false" customWidth="true" hidden="false" outlineLevel="0" max="6146" min="6146" style="134" width="45.83"/>
    <col collapsed="false" customWidth="true" hidden="false" outlineLevel="0" max="6152" min="6147" style="134" width="14.83"/>
    <col collapsed="false" customWidth="false" hidden="false" outlineLevel="0" max="6401" min="6153" style="134" width="8.83"/>
    <col collapsed="false" customWidth="true" hidden="false" outlineLevel="0" max="6402" min="6402" style="134" width="45.83"/>
    <col collapsed="false" customWidth="true" hidden="false" outlineLevel="0" max="6408" min="6403" style="134" width="14.83"/>
    <col collapsed="false" customWidth="false" hidden="false" outlineLevel="0" max="6657" min="6409" style="134" width="8.83"/>
    <col collapsed="false" customWidth="true" hidden="false" outlineLevel="0" max="6658" min="6658" style="134" width="45.83"/>
    <col collapsed="false" customWidth="true" hidden="false" outlineLevel="0" max="6664" min="6659" style="134" width="14.83"/>
    <col collapsed="false" customWidth="false" hidden="false" outlineLevel="0" max="6913" min="6665" style="134" width="8.83"/>
    <col collapsed="false" customWidth="true" hidden="false" outlineLevel="0" max="6914" min="6914" style="134" width="45.83"/>
    <col collapsed="false" customWidth="true" hidden="false" outlineLevel="0" max="6920" min="6915" style="134" width="14.83"/>
    <col collapsed="false" customWidth="false" hidden="false" outlineLevel="0" max="7169" min="6921" style="134" width="8.83"/>
    <col collapsed="false" customWidth="true" hidden="false" outlineLevel="0" max="7170" min="7170" style="134" width="45.83"/>
    <col collapsed="false" customWidth="true" hidden="false" outlineLevel="0" max="7176" min="7171" style="134" width="14.83"/>
    <col collapsed="false" customWidth="false" hidden="false" outlineLevel="0" max="7425" min="7177" style="134" width="8.83"/>
    <col collapsed="false" customWidth="true" hidden="false" outlineLevel="0" max="7426" min="7426" style="134" width="45.83"/>
    <col collapsed="false" customWidth="true" hidden="false" outlineLevel="0" max="7432" min="7427" style="134" width="14.83"/>
    <col collapsed="false" customWidth="false" hidden="false" outlineLevel="0" max="7681" min="7433" style="134" width="8.83"/>
    <col collapsed="false" customWidth="true" hidden="false" outlineLevel="0" max="7682" min="7682" style="134" width="45.83"/>
    <col collapsed="false" customWidth="true" hidden="false" outlineLevel="0" max="7688" min="7683" style="134" width="14.83"/>
    <col collapsed="false" customWidth="false" hidden="false" outlineLevel="0" max="7937" min="7689" style="134" width="8.83"/>
    <col collapsed="false" customWidth="true" hidden="false" outlineLevel="0" max="7938" min="7938" style="134" width="45.83"/>
    <col collapsed="false" customWidth="true" hidden="false" outlineLevel="0" max="7944" min="7939" style="134" width="14.83"/>
    <col collapsed="false" customWidth="false" hidden="false" outlineLevel="0" max="8193" min="7945" style="134" width="8.83"/>
    <col collapsed="false" customWidth="true" hidden="false" outlineLevel="0" max="8194" min="8194" style="134" width="45.83"/>
    <col collapsed="false" customWidth="true" hidden="false" outlineLevel="0" max="8200" min="8195" style="134" width="14.83"/>
    <col collapsed="false" customWidth="false" hidden="false" outlineLevel="0" max="8449" min="8201" style="134" width="8.83"/>
    <col collapsed="false" customWidth="true" hidden="false" outlineLevel="0" max="8450" min="8450" style="134" width="45.83"/>
    <col collapsed="false" customWidth="true" hidden="false" outlineLevel="0" max="8456" min="8451" style="134" width="14.83"/>
    <col collapsed="false" customWidth="false" hidden="false" outlineLevel="0" max="8705" min="8457" style="134" width="8.83"/>
    <col collapsed="false" customWidth="true" hidden="false" outlineLevel="0" max="8706" min="8706" style="134" width="45.83"/>
    <col collapsed="false" customWidth="true" hidden="false" outlineLevel="0" max="8712" min="8707" style="134" width="14.83"/>
    <col collapsed="false" customWidth="false" hidden="false" outlineLevel="0" max="8961" min="8713" style="134" width="8.83"/>
    <col collapsed="false" customWidth="true" hidden="false" outlineLevel="0" max="8962" min="8962" style="134" width="45.83"/>
    <col collapsed="false" customWidth="true" hidden="false" outlineLevel="0" max="8968" min="8963" style="134" width="14.83"/>
    <col collapsed="false" customWidth="false" hidden="false" outlineLevel="0" max="9217" min="8969" style="134" width="8.83"/>
    <col collapsed="false" customWidth="true" hidden="false" outlineLevel="0" max="9218" min="9218" style="134" width="45.83"/>
    <col collapsed="false" customWidth="true" hidden="false" outlineLevel="0" max="9224" min="9219" style="134" width="14.83"/>
    <col collapsed="false" customWidth="false" hidden="false" outlineLevel="0" max="9473" min="9225" style="134" width="8.83"/>
    <col collapsed="false" customWidth="true" hidden="false" outlineLevel="0" max="9474" min="9474" style="134" width="45.83"/>
    <col collapsed="false" customWidth="true" hidden="false" outlineLevel="0" max="9480" min="9475" style="134" width="14.83"/>
    <col collapsed="false" customWidth="false" hidden="false" outlineLevel="0" max="9729" min="9481" style="134" width="8.83"/>
    <col collapsed="false" customWidth="true" hidden="false" outlineLevel="0" max="9730" min="9730" style="134" width="45.83"/>
    <col collapsed="false" customWidth="true" hidden="false" outlineLevel="0" max="9736" min="9731" style="134" width="14.83"/>
    <col collapsed="false" customWidth="false" hidden="false" outlineLevel="0" max="9985" min="9737" style="134" width="8.83"/>
    <col collapsed="false" customWidth="true" hidden="false" outlineLevel="0" max="9986" min="9986" style="134" width="45.83"/>
    <col collapsed="false" customWidth="true" hidden="false" outlineLevel="0" max="9992" min="9987" style="134" width="14.83"/>
    <col collapsed="false" customWidth="false" hidden="false" outlineLevel="0" max="10241" min="9993" style="134" width="8.83"/>
    <col collapsed="false" customWidth="true" hidden="false" outlineLevel="0" max="10242" min="10242" style="134" width="45.83"/>
    <col collapsed="false" customWidth="true" hidden="false" outlineLevel="0" max="10248" min="10243" style="134" width="14.83"/>
    <col collapsed="false" customWidth="false" hidden="false" outlineLevel="0" max="10497" min="10249" style="134" width="8.83"/>
    <col collapsed="false" customWidth="true" hidden="false" outlineLevel="0" max="10498" min="10498" style="134" width="45.83"/>
    <col collapsed="false" customWidth="true" hidden="false" outlineLevel="0" max="10504" min="10499" style="134" width="14.83"/>
    <col collapsed="false" customWidth="false" hidden="false" outlineLevel="0" max="10753" min="10505" style="134" width="8.83"/>
    <col collapsed="false" customWidth="true" hidden="false" outlineLevel="0" max="10754" min="10754" style="134" width="45.83"/>
    <col collapsed="false" customWidth="true" hidden="false" outlineLevel="0" max="10760" min="10755" style="134" width="14.83"/>
    <col collapsed="false" customWidth="false" hidden="false" outlineLevel="0" max="11009" min="10761" style="134" width="8.83"/>
    <col collapsed="false" customWidth="true" hidden="false" outlineLevel="0" max="11010" min="11010" style="134" width="45.83"/>
    <col collapsed="false" customWidth="true" hidden="false" outlineLevel="0" max="11016" min="11011" style="134" width="14.83"/>
    <col collapsed="false" customWidth="false" hidden="false" outlineLevel="0" max="11265" min="11017" style="134" width="8.83"/>
    <col collapsed="false" customWidth="true" hidden="false" outlineLevel="0" max="11266" min="11266" style="134" width="45.83"/>
    <col collapsed="false" customWidth="true" hidden="false" outlineLevel="0" max="11272" min="11267" style="134" width="14.83"/>
    <col collapsed="false" customWidth="false" hidden="false" outlineLevel="0" max="11521" min="11273" style="134" width="8.83"/>
    <col collapsed="false" customWidth="true" hidden="false" outlineLevel="0" max="11522" min="11522" style="134" width="45.83"/>
    <col collapsed="false" customWidth="true" hidden="false" outlineLevel="0" max="11528" min="11523" style="134" width="14.83"/>
    <col collapsed="false" customWidth="false" hidden="false" outlineLevel="0" max="11777" min="11529" style="134" width="8.83"/>
    <col collapsed="false" customWidth="true" hidden="false" outlineLevel="0" max="11778" min="11778" style="134" width="45.83"/>
    <col collapsed="false" customWidth="true" hidden="false" outlineLevel="0" max="11784" min="11779" style="134" width="14.83"/>
    <col collapsed="false" customWidth="false" hidden="false" outlineLevel="0" max="12033" min="11785" style="134" width="8.83"/>
    <col collapsed="false" customWidth="true" hidden="false" outlineLevel="0" max="12034" min="12034" style="134" width="45.83"/>
    <col collapsed="false" customWidth="true" hidden="false" outlineLevel="0" max="12040" min="12035" style="134" width="14.83"/>
    <col collapsed="false" customWidth="false" hidden="false" outlineLevel="0" max="12289" min="12041" style="134" width="8.83"/>
    <col collapsed="false" customWidth="true" hidden="false" outlineLevel="0" max="12290" min="12290" style="134" width="45.83"/>
    <col collapsed="false" customWidth="true" hidden="false" outlineLevel="0" max="12296" min="12291" style="134" width="14.83"/>
    <col collapsed="false" customWidth="false" hidden="false" outlineLevel="0" max="12545" min="12297" style="134" width="8.83"/>
    <col collapsed="false" customWidth="true" hidden="false" outlineLevel="0" max="12546" min="12546" style="134" width="45.83"/>
    <col collapsed="false" customWidth="true" hidden="false" outlineLevel="0" max="12552" min="12547" style="134" width="14.83"/>
    <col collapsed="false" customWidth="false" hidden="false" outlineLevel="0" max="12801" min="12553" style="134" width="8.83"/>
    <col collapsed="false" customWidth="true" hidden="false" outlineLevel="0" max="12802" min="12802" style="134" width="45.83"/>
    <col collapsed="false" customWidth="true" hidden="false" outlineLevel="0" max="12808" min="12803" style="134" width="14.83"/>
    <col collapsed="false" customWidth="false" hidden="false" outlineLevel="0" max="13057" min="12809" style="134" width="8.83"/>
    <col collapsed="false" customWidth="true" hidden="false" outlineLevel="0" max="13058" min="13058" style="134" width="45.83"/>
    <col collapsed="false" customWidth="true" hidden="false" outlineLevel="0" max="13064" min="13059" style="134" width="14.83"/>
    <col collapsed="false" customWidth="false" hidden="false" outlineLevel="0" max="13313" min="13065" style="134" width="8.83"/>
    <col collapsed="false" customWidth="true" hidden="false" outlineLevel="0" max="13314" min="13314" style="134" width="45.83"/>
    <col collapsed="false" customWidth="true" hidden="false" outlineLevel="0" max="13320" min="13315" style="134" width="14.83"/>
    <col collapsed="false" customWidth="false" hidden="false" outlineLevel="0" max="13569" min="13321" style="134" width="8.83"/>
    <col collapsed="false" customWidth="true" hidden="false" outlineLevel="0" max="13570" min="13570" style="134" width="45.83"/>
    <col collapsed="false" customWidth="true" hidden="false" outlineLevel="0" max="13576" min="13571" style="134" width="14.83"/>
    <col collapsed="false" customWidth="false" hidden="false" outlineLevel="0" max="13825" min="13577" style="134" width="8.83"/>
    <col collapsed="false" customWidth="true" hidden="false" outlineLevel="0" max="13826" min="13826" style="134" width="45.83"/>
    <col collapsed="false" customWidth="true" hidden="false" outlineLevel="0" max="13832" min="13827" style="134" width="14.83"/>
    <col collapsed="false" customWidth="false" hidden="false" outlineLevel="0" max="14081" min="13833" style="134" width="8.83"/>
    <col collapsed="false" customWidth="true" hidden="false" outlineLevel="0" max="14082" min="14082" style="134" width="45.83"/>
    <col collapsed="false" customWidth="true" hidden="false" outlineLevel="0" max="14088" min="14083" style="134" width="14.83"/>
    <col collapsed="false" customWidth="false" hidden="false" outlineLevel="0" max="14337" min="14089" style="134" width="8.83"/>
    <col collapsed="false" customWidth="true" hidden="false" outlineLevel="0" max="14338" min="14338" style="134" width="45.83"/>
    <col collapsed="false" customWidth="true" hidden="false" outlineLevel="0" max="14344" min="14339" style="134" width="14.83"/>
    <col collapsed="false" customWidth="false" hidden="false" outlineLevel="0" max="14593" min="14345" style="134" width="8.83"/>
    <col collapsed="false" customWidth="true" hidden="false" outlineLevel="0" max="14594" min="14594" style="134" width="45.83"/>
    <col collapsed="false" customWidth="true" hidden="false" outlineLevel="0" max="14600" min="14595" style="134" width="14.83"/>
    <col collapsed="false" customWidth="false" hidden="false" outlineLevel="0" max="14849" min="14601" style="134" width="8.83"/>
    <col collapsed="false" customWidth="true" hidden="false" outlineLevel="0" max="14850" min="14850" style="134" width="45.83"/>
    <col collapsed="false" customWidth="true" hidden="false" outlineLevel="0" max="14856" min="14851" style="134" width="14.83"/>
    <col collapsed="false" customWidth="false" hidden="false" outlineLevel="0" max="15105" min="14857" style="134" width="8.83"/>
    <col collapsed="false" customWidth="true" hidden="false" outlineLevel="0" max="15106" min="15106" style="134" width="45.83"/>
    <col collapsed="false" customWidth="true" hidden="false" outlineLevel="0" max="15112" min="15107" style="134" width="14.83"/>
    <col collapsed="false" customWidth="false" hidden="false" outlineLevel="0" max="15361" min="15113" style="134" width="8.83"/>
    <col collapsed="false" customWidth="true" hidden="false" outlineLevel="0" max="15362" min="15362" style="134" width="45.83"/>
    <col collapsed="false" customWidth="true" hidden="false" outlineLevel="0" max="15368" min="15363" style="134" width="14.83"/>
    <col collapsed="false" customWidth="false" hidden="false" outlineLevel="0" max="15617" min="15369" style="134" width="8.83"/>
    <col collapsed="false" customWidth="true" hidden="false" outlineLevel="0" max="15618" min="15618" style="134" width="45.83"/>
    <col collapsed="false" customWidth="true" hidden="false" outlineLevel="0" max="15624" min="15619" style="134" width="14.83"/>
    <col collapsed="false" customWidth="false" hidden="false" outlineLevel="0" max="15873" min="15625" style="134" width="8.83"/>
    <col collapsed="false" customWidth="true" hidden="false" outlineLevel="0" max="15874" min="15874" style="134" width="45.83"/>
    <col collapsed="false" customWidth="true" hidden="false" outlineLevel="0" max="15880" min="15875" style="134" width="14.83"/>
    <col collapsed="false" customWidth="false" hidden="false" outlineLevel="0" max="16129" min="15881" style="134" width="8.83"/>
    <col collapsed="false" customWidth="true" hidden="false" outlineLevel="0" max="16130" min="16130" style="134" width="45.83"/>
    <col collapsed="false" customWidth="true" hidden="false" outlineLevel="0" max="16136" min="16131" style="134" width="14.83"/>
    <col collapsed="false" customWidth="false" hidden="false" outlineLevel="0" max="16384" min="16137" style="134" width="8.83"/>
  </cols>
  <sheetData>
    <row r="5" customFormat="false" ht="16.15" hidden="false" customHeight="false" outlineLevel="0" collapsed="false">
      <c r="A5" s="135" t="s">
        <v>345</v>
      </c>
    </row>
    <row r="7" customFormat="false" ht="10.5" hidden="false" customHeight="false" outlineLevel="0" collapsed="false">
      <c r="A7" s="136" t="s">
        <v>256</v>
      </c>
      <c r="B7" s="137" t="s">
        <v>257</v>
      </c>
      <c r="C7" s="134" t="s">
        <v>258</v>
      </c>
      <c r="D7" s="138" t="s">
        <v>192</v>
      </c>
      <c r="E7" s="137" t="s">
        <v>259</v>
      </c>
      <c r="F7" s="134" t="s">
        <v>260</v>
      </c>
    </row>
    <row r="8" customFormat="false" ht="10.5" hidden="false" customHeight="false" outlineLevel="0" collapsed="false">
      <c r="A8" s="138"/>
      <c r="B8" s="137" t="s">
        <v>261</v>
      </c>
      <c r="C8" s="134" t="s">
        <v>262</v>
      </c>
      <c r="D8" s="138" t="s">
        <v>192</v>
      </c>
      <c r="E8" s="137" t="s">
        <v>195</v>
      </c>
      <c r="F8" s="134" t="s">
        <v>196</v>
      </c>
    </row>
    <row r="9" customFormat="false" ht="10.5" hidden="false" customHeight="false" outlineLevel="0" collapsed="false">
      <c r="A9" s="138"/>
      <c r="B9" s="137" t="s">
        <v>190</v>
      </c>
      <c r="C9" s="134" t="s">
        <v>263</v>
      </c>
      <c r="D9" s="138" t="s">
        <v>192</v>
      </c>
      <c r="E9" s="137" t="s">
        <v>193</v>
      </c>
      <c r="F9" s="134" t="s">
        <v>194</v>
      </c>
    </row>
    <row r="10" customFormat="false" ht="10.5" hidden="false" customHeight="false" outlineLevel="0" collapsed="false">
      <c r="A10" s="138"/>
      <c r="B10" s="137" t="s">
        <v>197</v>
      </c>
      <c r="C10" s="134" t="s">
        <v>198</v>
      </c>
      <c r="D10" s="138" t="s">
        <v>192</v>
      </c>
      <c r="E10" s="137" t="s">
        <v>199</v>
      </c>
      <c r="F10" s="139" t="s">
        <v>200</v>
      </c>
    </row>
    <row r="11" customFormat="false" ht="10.5" hidden="false" customHeight="false" outlineLevel="0" collapsed="false">
      <c r="A11" s="138"/>
      <c r="B11" s="137" t="s">
        <v>264</v>
      </c>
      <c r="C11" s="134" t="s">
        <v>265</v>
      </c>
      <c r="D11" s="138" t="s">
        <v>192</v>
      </c>
      <c r="E11" s="175"/>
      <c r="F11" s="175"/>
    </row>
    <row r="14" customFormat="false" ht="10.5" hidden="false" customHeight="false" outlineLevel="0" collapsed="false">
      <c r="A14" s="140" t="s">
        <v>346</v>
      </c>
      <c r="B14" s="140"/>
      <c r="C14" s="140"/>
      <c r="D14" s="140"/>
      <c r="E14" s="140"/>
      <c r="F14" s="140"/>
      <c r="G14" s="140"/>
      <c r="H14" s="143"/>
      <c r="I14" s="143"/>
      <c r="J14" s="143"/>
      <c r="K14" s="143"/>
      <c r="L14" s="143"/>
      <c r="M14" s="143"/>
      <c r="N14" s="143"/>
      <c r="O14" s="143"/>
      <c r="P14" s="143"/>
      <c r="Q14" s="143"/>
      <c r="R14" s="143"/>
      <c r="S14" s="143"/>
      <c r="T14" s="143"/>
      <c r="U14" s="143"/>
      <c r="V14" s="143"/>
      <c r="W14" s="143"/>
      <c r="X14" s="143"/>
      <c r="Y14" s="143"/>
      <c r="Z14" s="143"/>
      <c r="AA14" s="143"/>
      <c r="AB14" s="143"/>
      <c r="AC14" s="143"/>
      <c r="AD14" s="143"/>
      <c r="AE14" s="143"/>
      <c r="AF14" s="143"/>
      <c r="AG14" s="143"/>
      <c r="AH14" s="143"/>
      <c r="AI14" s="143"/>
      <c r="AJ14" s="143"/>
      <c r="AK14" s="143"/>
      <c r="AL14" s="143"/>
      <c r="AM14" s="143"/>
      <c r="AN14" s="143"/>
      <c r="AO14" s="143"/>
      <c r="AP14" s="143"/>
      <c r="AQ14" s="143"/>
      <c r="AR14" s="143"/>
      <c r="AS14" s="143"/>
      <c r="AT14" s="143"/>
      <c r="AU14" s="143"/>
      <c r="AV14" s="143"/>
      <c r="AW14" s="143"/>
      <c r="AX14" s="143"/>
      <c r="AY14" s="143"/>
      <c r="AZ14" s="143"/>
      <c r="BA14" s="143"/>
      <c r="BB14" s="143"/>
      <c r="BC14" s="143"/>
      <c r="BD14" s="143"/>
      <c r="BE14" s="143"/>
      <c r="BF14" s="143"/>
      <c r="BG14" s="143"/>
      <c r="BH14" s="143"/>
      <c r="BI14" s="143"/>
      <c r="BJ14" s="143"/>
      <c r="BK14" s="143"/>
      <c r="BL14" s="143"/>
      <c r="BM14" s="143"/>
      <c r="BN14" s="143"/>
      <c r="BO14" s="143"/>
      <c r="BP14" s="143"/>
      <c r="BQ14" s="143"/>
      <c r="BR14" s="143"/>
      <c r="BS14" s="143"/>
      <c r="BT14" s="143"/>
      <c r="BU14" s="143"/>
      <c r="BV14" s="143"/>
      <c r="BW14" s="143"/>
      <c r="BX14" s="143"/>
      <c r="BY14" s="143"/>
      <c r="BZ14" s="143"/>
      <c r="CA14" s="143"/>
      <c r="CB14" s="143"/>
      <c r="CC14" s="143"/>
      <c r="CD14" s="143"/>
      <c r="CE14" s="143"/>
      <c r="CF14" s="143"/>
      <c r="CG14" s="143"/>
      <c r="CH14" s="143"/>
      <c r="CI14" s="143"/>
      <c r="CJ14" s="143"/>
      <c r="CK14" s="143"/>
      <c r="CL14" s="143"/>
      <c r="CM14" s="143"/>
      <c r="CN14" s="143"/>
      <c r="CO14" s="143"/>
      <c r="CP14" s="143"/>
      <c r="CQ14" s="143"/>
      <c r="CR14" s="143"/>
      <c r="CS14" s="143"/>
      <c r="CT14" s="143"/>
      <c r="CU14" s="143"/>
      <c r="CV14" s="143"/>
      <c r="CW14" s="143"/>
      <c r="CX14" s="143"/>
      <c r="CY14" s="143"/>
      <c r="CZ14" s="143"/>
      <c r="DA14" s="143"/>
      <c r="DB14" s="143"/>
      <c r="DC14" s="143"/>
      <c r="DD14" s="143"/>
      <c r="DE14" s="143"/>
      <c r="DF14" s="143"/>
      <c r="DG14" s="143"/>
      <c r="DH14" s="143"/>
      <c r="DI14" s="143"/>
      <c r="DJ14" s="143"/>
      <c r="DK14" s="143"/>
      <c r="DL14" s="143"/>
      <c r="DM14" s="143"/>
      <c r="DN14" s="143"/>
      <c r="DO14" s="143"/>
      <c r="DP14" s="143"/>
      <c r="DQ14" s="143"/>
      <c r="DR14" s="143"/>
      <c r="DS14" s="143"/>
      <c r="DT14" s="143"/>
      <c r="DU14" s="143"/>
      <c r="DV14" s="143"/>
      <c r="DW14" s="143"/>
      <c r="DX14" s="143"/>
      <c r="DY14" s="143"/>
      <c r="DZ14" s="143"/>
      <c r="EA14" s="143"/>
      <c r="EB14" s="143"/>
      <c r="EC14" s="143"/>
      <c r="ED14" s="143"/>
      <c r="EE14" s="143"/>
      <c r="EF14" s="143"/>
      <c r="EG14" s="143"/>
      <c r="EH14" s="143"/>
      <c r="EI14" s="143"/>
      <c r="EJ14" s="143"/>
      <c r="EK14" s="143"/>
      <c r="EL14" s="143"/>
      <c r="EM14" s="143"/>
      <c r="EN14" s="143"/>
      <c r="EO14" s="143"/>
      <c r="EP14" s="143"/>
      <c r="EQ14" s="143"/>
      <c r="ER14" s="143"/>
      <c r="ES14" s="143"/>
      <c r="ET14" s="143"/>
      <c r="EU14" s="143"/>
      <c r="EV14" s="143"/>
      <c r="EW14" s="143"/>
      <c r="EX14" s="143"/>
      <c r="EY14" s="143"/>
      <c r="EZ14" s="143"/>
      <c r="FA14" s="143"/>
      <c r="FB14" s="143"/>
      <c r="FC14" s="143"/>
      <c r="FD14" s="143"/>
      <c r="FE14" s="143"/>
      <c r="FF14" s="143"/>
      <c r="FG14" s="143"/>
      <c r="FH14" s="143"/>
      <c r="FI14" s="143"/>
      <c r="FJ14" s="143"/>
      <c r="FK14" s="143"/>
      <c r="FL14" s="143"/>
      <c r="FM14" s="143"/>
      <c r="FN14" s="143"/>
      <c r="FO14" s="143"/>
      <c r="FP14" s="143"/>
      <c r="FQ14" s="143"/>
      <c r="FR14" s="143"/>
      <c r="FS14" s="143"/>
      <c r="FT14" s="143"/>
      <c r="FU14" s="143"/>
      <c r="FV14" s="143"/>
      <c r="FW14" s="143"/>
      <c r="FX14" s="143"/>
      <c r="FY14" s="143"/>
      <c r="FZ14" s="143"/>
      <c r="GA14" s="143"/>
      <c r="GB14" s="143"/>
      <c r="GC14" s="143"/>
      <c r="GD14" s="143"/>
      <c r="GE14" s="143"/>
      <c r="GF14" s="143"/>
      <c r="GG14" s="143"/>
      <c r="GH14" s="143"/>
      <c r="GI14" s="143"/>
      <c r="GJ14" s="143"/>
      <c r="GK14" s="143"/>
      <c r="GL14" s="143"/>
      <c r="GM14" s="143"/>
      <c r="GN14" s="143"/>
      <c r="GO14" s="143"/>
      <c r="GP14" s="143"/>
      <c r="GQ14" s="143"/>
      <c r="GR14" s="143"/>
      <c r="GS14" s="143"/>
      <c r="GT14" s="143"/>
      <c r="GU14" s="143"/>
      <c r="GV14" s="143"/>
      <c r="GW14" s="143"/>
      <c r="GX14" s="143"/>
      <c r="GY14" s="143"/>
      <c r="GZ14" s="143"/>
      <c r="HA14" s="143"/>
      <c r="HB14" s="143"/>
      <c r="HC14" s="143"/>
      <c r="HD14" s="143"/>
      <c r="HE14" s="143"/>
      <c r="HF14" s="143"/>
      <c r="HG14" s="143"/>
      <c r="HH14" s="143"/>
      <c r="HI14" s="143"/>
      <c r="HJ14" s="143"/>
      <c r="HK14" s="143"/>
      <c r="HL14" s="143"/>
      <c r="HM14" s="143"/>
      <c r="HN14" s="143"/>
      <c r="HO14" s="143"/>
      <c r="HP14" s="143"/>
      <c r="HQ14" s="143"/>
      <c r="HR14" s="143"/>
      <c r="HS14" s="143"/>
      <c r="HT14" s="143"/>
      <c r="HU14" s="143"/>
      <c r="HV14" s="143"/>
      <c r="HW14" s="143"/>
      <c r="HX14" s="143"/>
      <c r="HY14" s="143"/>
      <c r="HZ14" s="143"/>
      <c r="IA14" s="143"/>
      <c r="IB14" s="143"/>
      <c r="IC14" s="143"/>
      <c r="ID14" s="143"/>
      <c r="IE14" s="143"/>
      <c r="IF14" s="143"/>
      <c r="IG14" s="143"/>
      <c r="IH14" s="143"/>
      <c r="II14" s="143"/>
      <c r="IJ14" s="143"/>
      <c r="IK14" s="143"/>
      <c r="IL14" s="143"/>
      <c r="IM14" s="143"/>
      <c r="IN14" s="143"/>
      <c r="IO14" s="143"/>
      <c r="IP14" s="143"/>
      <c r="IQ14" s="143"/>
      <c r="IR14" s="143"/>
      <c r="IS14" s="143"/>
      <c r="IT14" s="143"/>
      <c r="IU14" s="143"/>
      <c r="IV14" s="143"/>
    </row>
    <row r="15" customFormat="false" ht="19.4" hidden="false" customHeight="false" outlineLevel="0" collapsed="false">
      <c r="A15" s="171" t="s">
        <v>347</v>
      </c>
      <c r="B15" s="189" t="n">
        <v>40178</v>
      </c>
      <c r="C15" s="189" t="n">
        <v>40543</v>
      </c>
      <c r="D15" s="189" t="n">
        <v>40908</v>
      </c>
      <c r="E15" s="172" t="s">
        <v>348</v>
      </c>
      <c r="F15" s="189" t="n">
        <v>41639</v>
      </c>
      <c r="G15" s="189" t="n">
        <v>41912</v>
      </c>
    </row>
    <row r="16" customFormat="false" ht="10.5" hidden="false" customHeight="false" outlineLevel="0" collapsed="false">
      <c r="A16" s="165" t="s">
        <v>215</v>
      </c>
      <c r="B16" s="166" t="s">
        <v>216</v>
      </c>
      <c r="C16" s="166" t="s">
        <v>216</v>
      </c>
      <c r="D16" s="166" t="s">
        <v>216</v>
      </c>
      <c r="E16" s="166" t="s">
        <v>216</v>
      </c>
      <c r="F16" s="166" t="s">
        <v>216</v>
      </c>
      <c r="G16" s="166" t="s">
        <v>216</v>
      </c>
    </row>
    <row r="17" customFormat="false" ht="10.5" hidden="false" customHeight="false" outlineLevel="0" collapsed="false">
      <c r="A17" s="152" t="s">
        <v>349</v>
      </c>
      <c r="B17" s="138"/>
      <c r="C17" s="138"/>
      <c r="D17" s="138"/>
      <c r="E17" s="138"/>
      <c r="F17" s="138"/>
      <c r="G17" s="138"/>
    </row>
    <row r="18" customFormat="false" ht="10.5" hidden="false" customHeight="false" outlineLevel="0" collapsed="false">
      <c r="A18" s="138" t="s">
        <v>350</v>
      </c>
      <c r="B18" s="168" t="n">
        <v>57.3</v>
      </c>
      <c r="C18" s="168" t="n">
        <v>27.8</v>
      </c>
      <c r="D18" s="168" t="n">
        <v>21.1</v>
      </c>
      <c r="E18" s="168" t="n">
        <v>28</v>
      </c>
      <c r="F18" s="168" t="n">
        <v>36.8</v>
      </c>
      <c r="G18" s="168" t="n">
        <v>40.3</v>
      </c>
    </row>
    <row r="19" customFormat="false" ht="10.5" hidden="false" customHeight="false" outlineLevel="0" collapsed="false">
      <c r="A19" s="152" t="s">
        <v>351</v>
      </c>
      <c r="B19" s="169" t="n">
        <v>57.3</v>
      </c>
      <c r="C19" s="169" t="n">
        <v>27.8</v>
      </c>
      <c r="D19" s="169" t="n">
        <v>21.1</v>
      </c>
      <c r="E19" s="169" t="n">
        <v>28</v>
      </c>
      <c r="F19" s="169" t="n">
        <v>36.8</v>
      </c>
      <c r="G19" s="169" t="n">
        <v>40.3</v>
      </c>
    </row>
    <row r="20" customFormat="false" ht="10.5" hidden="false" customHeight="false" outlineLevel="0" collapsed="false">
      <c r="A20" s="138"/>
      <c r="B20" s="138"/>
      <c r="C20" s="138"/>
      <c r="D20" s="138"/>
      <c r="E20" s="138"/>
      <c r="F20" s="138"/>
      <c r="G20" s="138"/>
      <c r="I20" s="190" t="s">
        <v>352</v>
      </c>
      <c r="J20" s="134" t="s">
        <v>353</v>
      </c>
      <c r="K20" s="134" t="s">
        <v>354</v>
      </c>
    </row>
    <row r="21" customFormat="false" ht="10.5" hidden="false" customHeight="false" outlineLevel="0" collapsed="false">
      <c r="A21" s="138" t="s">
        <v>355</v>
      </c>
      <c r="B21" s="168" t="n">
        <v>51.8</v>
      </c>
      <c r="C21" s="168" t="n">
        <v>60.4</v>
      </c>
      <c r="D21" s="168" t="n">
        <v>66.9</v>
      </c>
      <c r="E21" s="168" t="n">
        <v>87.6</v>
      </c>
      <c r="F21" s="168" t="n">
        <v>97</v>
      </c>
      <c r="G21" s="168" t="n">
        <v>108</v>
      </c>
      <c r="I21" s="134" t="s">
        <v>356</v>
      </c>
      <c r="J21" s="191" t="n">
        <f aca="false">F21+SUM(F25:F28)</f>
        <v>162.1</v>
      </c>
      <c r="K21" s="191" t="n">
        <f aca="false">G21+SUM(G25:G28)</f>
        <v>181.6</v>
      </c>
    </row>
    <row r="22" customFormat="false" ht="10.5" hidden="false" customHeight="false" outlineLevel="0" collapsed="false">
      <c r="A22" s="138" t="s">
        <v>357</v>
      </c>
      <c r="B22" s="168" t="n">
        <v>4.1</v>
      </c>
      <c r="C22" s="168" t="n">
        <v>0.2</v>
      </c>
      <c r="D22" s="168" t="s">
        <v>230</v>
      </c>
      <c r="E22" s="168" t="s">
        <v>230</v>
      </c>
      <c r="F22" s="168" t="s">
        <v>230</v>
      </c>
      <c r="G22" s="168" t="s">
        <v>230</v>
      </c>
      <c r="I22" s="134" t="s">
        <v>358</v>
      </c>
      <c r="J22" s="192" t="n">
        <f aca="false">F50-F45</f>
        <v>155.3</v>
      </c>
      <c r="K22" s="192" t="n">
        <f aca="false">G50-G45</f>
        <v>146.4</v>
      </c>
    </row>
    <row r="23" customFormat="false" ht="10.5" hidden="false" customHeight="false" outlineLevel="0" collapsed="false">
      <c r="A23" s="152" t="s">
        <v>359</v>
      </c>
      <c r="B23" s="169" t="n">
        <v>55.9</v>
      </c>
      <c r="C23" s="169" t="n">
        <v>60.6</v>
      </c>
      <c r="D23" s="169" t="n">
        <v>66.9</v>
      </c>
      <c r="E23" s="169" t="n">
        <v>87.6</v>
      </c>
      <c r="F23" s="169" t="n">
        <v>97</v>
      </c>
      <c r="G23" s="169" t="n">
        <v>108</v>
      </c>
      <c r="I23" s="137" t="s">
        <v>360</v>
      </c>
      <c r="J23" s="192" t="n">
        <f aca="false">J21-J22</f>
        <v>6.79999999999998</v>
      </c>
      <c r="K23" s="192" t="n">
        <f aca="false">K21-K22</f>
        <v>35.2</v>
      </c>
    </row>
    <row r="24" customFormat="false" ht="10.5" hidden="false" customHeight="false" outlineLevel="0" collapsed="false">
      <c r="A24" s="138"/>
      <c r="B24" s="138"/>
      <c r="C24" s="138"/>
      <c r="D24" s="138"/>
      <c r="E24" s="138"/>
      <c r="F24" s="138"/>
      <c r="G24" s="138"/>
      <c r="I24" s="193" t="s">
        <v>361</v>
      </c>
      <c r="K24" s="192" t="n">
        <f aca="false">J23-K23</f>
        <v>-28.4</v>
      </c>
    </row>
    <row r="25" customFormat="false" ht="10.5" hidden="false" customHeight="false" outlineLevel="0" collapsed="false">
      <c r="A25" s="138" t="s">
        <v>362</v>
      </c>
      <c r="B25" s="168" t="n">
        <v>30.1</v>
      </c>
      <c r="C25" s="168" t="n">
        <v>36.2</v>
      </c>
      <c r="D25" s="168" t="n">
        <v>39</v>
      </c>
      <c r="E25" s="168" t="n">
        <v>36.7</v>
      </c>
      <c r="F25" s="168" t="n">
        <v>45</v>
      </c>
      <c r="G25" s="168" t="n">
        <v>49.7</v>
      </c>
    </row>
    <row r="26" customFormat="false" ht="10.5" hidden="false" customHeight="false" outlineLevel="0" collapsed="false">
      <c r="A26" s="138" t="s">
        <v>363</v>
      </c>
      <c r="B26" s="168" t="n">
        <v>1.9</v>
      </c>
      <c r="C26" s="168" t="n">
        <v>2</v>
      </c>
      <c r="D26" s="168" t="n">
        <v>8.2</v>
      </c>
      <c r="E26" s="168" t="n">
        <v>14.2</v>
      </c>
      <c r="F26" s="168" t="n">
        <v>15.2</v>
      </c>
      <c r="G26" s="168" t="n">
        <v>17.4</v>
      </c>
    </row>
    <row r="27" customFormat="false" ht="10.5" hidden="false" customHeight="false" outlineLevel="0" collapsed="false">
      <c r="A27" s="138" t="s">
        <v>364</v>
      </c>
      <c r="B27" s="168" t="n">
        <v>1.9</v>
      </c>
      <c r="C27" s="168" t="n">
        <v>5.5</v>
      </c>
      <c r="D27" s="168" t="n">
        <v>5.8</v>
      </c>
      <c r="E27" s="168" t="n">
        <v>4.3</v>
      </c>
      <c r="F27" s="168" t="n">
        <v>4.9</v>
      </c>
      <c r="G27" s="168" t="n">
        <v>5.9</v>
      </c>
    </row>
    <row r="28" customFormat="false" ht="10.5" hidden="false" customHeight="false" outlineLevel="0" collapsed="false">
      <c r="A28" s="138" t="s">
        <v>365</v>
      </c>
      <c r="B28" s="168" t="n">
        <v>0.6</v>
      </c>
      <c r="C28" s="168" t="n">
        <v>4.3</v>
      </c>
      <c r="D28" s="168" t="n">
        <v>1.3</v>
      </c>
      <c r="E28" s="168" t="n">
        <v>0.3</v>
      </c>
      <c r="F28" s="168" t="s">
        <v>230</v>
      </c>
      <c r="G28" s="168" t="n">
        <v>0.6</v>
      </c>
    </row>
    <row r="29" customFormat="false" ht="10.5" hidden="false" customHeight="false" outlineLevel="0" collapsed="false">
      <c r="A29" s="152" t="s">
        <v>366</v>
      </c>
      <c r="B29" s="169" t="n">
        <v>147.7</v>
      </c>
      <c r="C29" s="169" t="n">
        <v>136.4</v>
      </c>
      <c r="D29" s="169" t="n">
        <v>142.3</v>
      </c>
      <c r="E29" s="169" t="n">
        <v>171.1</v>
      </c>
      <c r="F29" s="169" t="n">
        <v>198.9</v>
      </c>
      <c r="G29" s="169" t="n">
        <v>221.9</v>
      </c>
    </row>
    <row r="30" customFormat="false" ht="10.5" hidden="false" customHeight="false" outlineLevel="0" collapsed="false">
      <c r="A30" s="138"/>
      <c r="B30" s="138"/>
      <c r="C30" s="138"/>
      <c r="D30" s="138"/>
      <c r="E30" s="138"/>
      <c r="F30" s="138"/>
      <c r="G30" s="138"/>
    </row>
    <row r="31" customFormat="false" ht="10.5" hidden="false" customHeight="false" outlineLevel="0" collapsed="false">
      <c r="A31" s="138" t="s">
        <v>367</v>
      </c>
      <c r="B31" s="168" t="n">
        <v>233.5</v>
      </c>
      <c r="C31" s="168" t="n">
        <v>219</v>
      </c>
      <c r="D31" s="168" t="n">
        <v>126.4</v>
      </c>
      <c r="E31" s="168" t="n">
        <v>151.2</v>
      </c>
      <c r="F31" s="168" t="n">
        <v>190.4</v>
      </c>
      <c r="G31" s="168" t="s">
        <v>230</v>
      </c>
    </row>
    <row r="32" customFormat="false" ht="10.5" hidden="false" customHeight="false" outlineLevel="0" collapsed="false">
      <c r="A32" s="138" t="s">
        <v>368</v>
      </c>
      <c r="B32" s="168" t="n">
        <v>-168.3</v>
      </c>
      <c r="C32" s="168" t="n">
        <v>-155.5</v>
      </c>
      <c r="D32" s="168" t="n">
        <v>-6.5</v>
      </c>
      <c r="E32" s="168" t="n">
        <v>-23.7</v>
      </c>
      <c r="F32" s="168" t="n">
        <v>-41.7</v>
      </c>
      <c r="G32" s="168" t="s">
        <v>230</v>
      </c>
    </row>
    <row r="33" customFormat="false" ht="10.5" hidden="false" customHeight="false" outlineLevel="0" collapsed="false">
      <c r="A33" s="152" t="s">
        <v>369</v>
      </c>
      <c r="B33" s="169" t="n">
        <v>65.2</v>
      </c>
      <c r="C33" s="169" t="n">
        <v>63.5</v>
      </c>
      <c r="D33" s="169" t="n">
        <v>119.9</v>
      </c>
      <c r="E33" s="169" t="n">
        <v>127.5</v>
      </c>
      <c r="F33" s="169" t="n">
        <v>148.7</v>
      </c>
      <c r="G33" s="169" t="n">
        <v>153.3</v>
      </c>
    </row>
    <row r="34" customFormat="false" ht="10.5" hidden="false" customHeight="false" outlineLevel="0" collapsed="false">
      <c r="A34" s="138"/>
      <c r="B34" s="138"/>
      <c r="C34" s="138"/>
      <c r="D34" s="138"/>
      <c r="E34" s="138"/>
      <c r="F34" s="138"/>
      <c r="G34" s="138"/>
    </row>
    <row r="35" customFormat="false" ht="10.5" hidden="false" customHeight="false" outlineLevel="0" collapsed="false">
      <c r="A35" s="138" t="s">
        <v>370</v>
      </c>
      <c r="B35" s="168" t="n">
        <v>326.9</v>
      </c>
      <c r="C35" s="168" t="n">
        <v>320.8</v>
      </c>
      <c r="D35" s="168" t="n">
        <v>238.4</v>
      </c>
      <c r="E35" s="168" t="n">
        <v>242.8</v>
      </c>
      <c r="F35" s="168" t="n">
        <v>246.7</v>
      </c>
      <c r="G35" s="168" t="n">
        <v>264.4</v>
      </c>
    </row>
    <row r="36" customFormat="false" ht="10.5" hidden="false" customHeight="false" outlineLevel="0" collapsed="false">
      <c r="A36" s="138" t="s">
        <v>371</v>
      </c>
      <c r="B36" s="168" t="n">
        <v>37.8</v>
      </c>
      <c r="C36" s="168" t="n">
        <v>32.6</v>
      </c>
      <c r="D36" s="168" t="n">
        <v>270.7</v>
      </c>
      <c r="E36" s="168" t="n">
        <v>261.9</v>
      </c>
      <c r="F36" s="168" t="n">
        <v>249</v>
      </c>
      <c r="G36" s="168" t="n">
        <v>240.8</v>
      </c>
    </row>
    <row r="37" customFormat="false" ht="10.5" hidden="false" customHeight="false" outlineLevel="0" collapsed="false">
      <c r="A37" s="138" t="s">
        <v>372</v>
      </c>
      <c r="B37" s="168" t="n">
        <v>0.1</v>
      </c>
      <c r="C37" s="168" t="n">
        <v>2</v>
      </c>
      <c r="D37" s="168" t="n">
        <v>4.9</v>
      </c>
      <c r="E37" s="168" t="n">
        <v>5.3</v>
      </c>
      <c r="F37" s="168" t="n">
        <v>5.1</v>
      </c>
      <c r="G37" s="168" t="n">
        <v>4.3</v>
      </c>
    </row>
    <row r="38" customFormat="false" ht="10.5" hidden="false" customHeight="false" outlineLevel="0" collapsed="false">
      <c r="A38" s="138" t="s">
        <v>373</v>
      </c>
      <c r="B38" s="168" t="s">
        <v>230</v>
      </c>
      <c r="C38" s="168" t="s">
        <v>230</v>
      </c>
      <c r="D38" s="168" t="n">
        <v>22.1</v>
      </c>
      <c r="E38" s="168" t="n">
        <v>19.7</v>
      </c>
      <c r="F38" s="168" t="n">
        <v>15.7</v>
      </c>
      <c r="G38" s="168" t="n">
        <v>13.4</v>
      </c>
    </row>
    <row r="39" customFormat="false" ht="10.5" hidden="false" customHeight="false" outlineLevel="0" collapsed="false">
      <c r="A39" s="138" t="s">
        <v>374</v>
      </c>
      <c r="B39" s="168" t="s">
        <v>230</v>
      </c>
      <c r="C39" s="168" t="s">
        <v>230</v>
      </c>
      <c r="D39" s="168" t="n">
        <v>2.2</v>
      </c>
      <c r="E39" s="168" t="n">
        <v>4.5</v>
      </c>
      <c r="F39" s="168" t="n">
        <v>4.6</v>
      </c>
      <c r="G39" s="168" t="n">
        <v>4.3</v>
      </c>
    </row>
    <row r="40" customFormat="false" ht="10.5" hidden="false" customHeight="false" outlineLevel="0" collapsed="false">
      <c r="A40" s="152" t="s">
        <v>375</v>
      </c>
      <c r="B40" s="185" t="n">
        <v>577.7</v>
      </c>
      <c r="C40" s="185" t="n">
        <v>555.3</v>
      </c>
      <c r="D40" s="185" t="n">
        <v>800.5</v>
      </c>
      <c r="E40" s="185" t="n">
        <v>832.8</v>
      </c>
      <c r="F40" s="185" t="n">
        <v>868.7</v>
      </c>
      <c r="G40" s="185" t="n">
        <v>902.4</v>
      </c>
    </row>
    <row r="41" customFormat="false" ht="10.5" hidden="false" customHeight="false" outlineLevel="0" collapsed="false">
      <c r="A41" s="138"/>
      <c r="B41" s="138"/>
      <c r="C41" s="138"/>
      <c r="D41" s="138"/>
      <c r="E41" s="138"/>
      <c r="F41" s="138"/>
      <c r="G41" s="138"/>
    </row>
    <row r="42" customFormat="false" ht="10.5" hidden="false" customHeight="false" outlineLevel="0" collapsed="false">
      <c r="A42" s="152" t="s">
        <v>376</v>
      </c>
      <c r="B42" s="138"/>
      <c r="C42" s="138"/>
      <c r="D42" s="138"/>
      <c r="E42" s="138"/>
      <c r="F42" s="138"/>
      <c r="G42" s="138"/>
    </row>
    <row r="43" customFormat="false" ht="10.5" hidden="false" customHeight="false" outlineLevel="0" collapsed="false">
      <c r="A43" s="138" t="s">
        <v>377</v>
      </c>
      <c r="B43" s="168" t="n">
        <v>47.4</v>
      </c>
      <c r="C43" s="168" t="n">
        <v>48.6</v>
      </c>
      <c r="D43" s="168" t="n">
        <v>52.7</v>
      </c>
      <c r="E43" s="168" t="n">
        <v>62.1</v>
      </c>
      <c r="F43" s="168" t="n">
        <v>67.7</v>
      </c>
      <c r="G43" s="168" t="n">
        <v>65.6</v>
      </c>
    </row>
    <row r="44" customFormat="false" ht="10.5" hidden="false" customHeight="false" outlineLevel="0" collapsed="false">
      <c r="A44" s="138" t="s">
        <v>378</v>
      </c>
      <c r="B44" s="168" t="n">
        <v>23.9</v>
      </c>
      <c r="C44" s="168" t="n">
        <v>30.5</v>
      </c>
      <c r="D44" s="168" t="n">
        <v>58.1</v>
      </c>
      <c r="E44" s="168" t="n">
        <v>64</v>
      </c>
      <c r="F44" s="168" t="n">
        <v>60.2</v>
      </c>
      <c r="G44" s="168" t="n">
        <v>57.3</v>
      </c>
    </row>
    <row r="45" customFormat="false" ht="10.5" hidden="false" customHeight="false" outlineLevel="0" collapsed="false">
      <c r="A45" s="138" t="s">
        <v>379</v>
      </c>
      <c r="B45" s="168" t="n">
        <v>0.9</v>
      </c>
      <c r="C45" s="168" t="n">
        <v>0.4</v>
      </c>
      <c r="D45" s="168" t="n">
        <v>5</v>
      </c>
      <c r="E45" s="168" t="n">
        <v>6.3</v>
      </c>
      <c r="F45" s="168" t="n">
        <v>5.6</v>
      </c>
      <c r="G45" s="168" t="n">
        <v>19.5</v>
      </c>
    </row>
    <row r="46" customFormat="false" ht="10.5" hidden="false" customHeight="false" outlineLevel="0" collapsed="false">
      <c r="A46" s="138" t="s">
        <v>380</v>
      </c>
      <c r="B46" s="168" t="n">
        <v>6.5</v>
      </c>
      <c r="C46" s="168" t="n">
        <v>2.7</v>
      </c>
      <c r="D46" s="168" t="n">
        <v>6.8</v>
      </c>
      <c r="E46" s="168" t="n">
        <v>3</v>
      </c>
      <c r="F46" s="168" t="n">
        <v>5.8</v>
      </c>
      <c r="G46" s="168" t="n">
        <v>6.2</v>
      </c>
    </row>
    <row r="47" customFormat="false" ht="10.5" hidden="false" customHeight="false" outlineLevel="0" collapsed="false">
      <c r="A47" s="138" t="s">
        <v>381</v>
      </c>
      <c r="B47" s="168" t="n">
        <v>8.7</v>
      </c>
      <c r="C47" s="168" t="n">
        <v>8.2</v>
      </c>
      <c r="D47" s="168" t="n">
        <v>8.4</v>
      </c>
      <c r="E47" s="168" t="n">
        <v>8.4</v>
      </c>
      <c r="F47" s="168" t="n">
        <v>17.5</v>
      </c>
      <c r="G47" s="168" t="n">
        <v>16.2</v>
      </c>
    </row>
    <row r="48" customFormat="false" ht="10.5" hidden="false" customHeight="false" outlineLevel="0" collapsed="false">
      <c r="A48" s="138" t="s">
        <v>382</v>
      </c>
      <c r="B48" s="168" t="n">
        <v>0.9</v>
      </c>
      <c r="C48" s="168" t="n">
        <v>1.1</v>
      </c>
      <c r="D48" s="168" t="n">
        <v>1.3</v>
      </c>
      <c r="E48" s="168" t="n">
        <v>0.2</v>
      </c>
      <c r="F48" s="168" t="n">
        <v>0.4</v>
      </c>
      <c r="G48" s="168" t="n">
        <v>0.6</v>
      </c>
    </row>
    <row r="49" customFormat="false" ht="10.5" hidden="false" customHeight="false" outlineLevel="0" collapsed="false">
      <c r="A49" s="138" t="s">
        <v>383</v>
      </c>
      <c r="B49" s="168" t="n">
        <v>4.8</v>
      </c>
      <c r="C49" s="168" t="n">
        <v>10.8</v>
      </c>
      <c r="D49" s="168" t="n">
        <v>0.2</v>
      </c>
      <c r="E49" s="168" t="n">
        <v>1.4</v>
      </c>
      <c r="F49" s="168" t="n">
        <v>3.7</v>
      </c>
      <c r="G49" s="168" t="n">
        <v>0.5</v>
      </c>
    </row>
    <row r="50" customFormat="false" ht="10.5" hidden="false" customHeight="false" outlineLevel="0" collapsed="false">
      <c r="A50" s="152" t="s">
        <v>384</v>
      </c>
      <c r="B50" s="169" t="n">
        <v>93.1</v>
      </c>
      <c r="C50" s="169" t="n">
        <v>102.3</v>
      </c>
      <c r="D50" s="169" t="n">
        <v>132.5</v>
      </c>
      <c r="E50" s="169" t="n">
        <v>145.4</v>
      </c>
      <c r="F50" s="169" t="n">
        <v>160.9</v>
      </c>
      <c r="G50" s="169" t="n">
        <v>165.9</v>
      </c>
    </row>
    <row r="51" customFormat="false" ht="10.5" hidden="false" customHeight="false" outlineLevel="0" collapsed="false">
      <c r="A51" s="138"/>
      <c r="B51" s="138"/>
      <c r="C51" s="138"/>
      <c r="D51" s="138"/>
      <c r="E51" s="138"/>
      <c r="F51" s="138"/>
      <c r="G51" s="138"/>
    </row>
    <row r="52" customFormat="false" ht="10.5" hidden="false" customHeight="false" outlineLevel="0" collapsed="false">
      <c r="A52" s="138" t="s">
        <v>385</v>
      </c>
      <c r="B52" s="168" t="n">
        <v>141</v>
      </c>
      <c r="C52" s="168" t="n">
        <v>71.5</v>
      </c>
      <c r="D52" s="168" t="n">
        <v>419</v>
      </c>
      <c r="E52" s="168" t="n">
        <v>439.2</v>
      </c>
      <c r="F52" s="168" t="n">
        <v>437.7</v>
      </c>
      <c r="G52" s="168" t="n">
        <v>466.5</v>
      </c>
    </row>
    <row r="53" customFormat="false" ht="10.5" hidden="false" customHeight="false" outlineLevel="0" collapsed="false">
      <c r="A53" s="138" t="s">
        <v>386</v>
      </c>
      <c r="B53" s="168" t="n">
        <v>16.7</v>
      </c>
      <c r="C53" s="168" t="n">
        <v>17.1</v>
      </c>
      <c r="D53" s="168" t="n">
        <v>19.5</v>
      </c>
      <c r="E53" s="168" t="n">
        <v>23.5</v>
      </c>
      <c r="F53" s="168" t="n">
        <v>22.5</v>
      </c>
      <c r="G53" s="168" t="n">
        <v>21.1</v>
      </c>
    </row>
    <row r="54" customFormat="false" ht="10.5" hidden="false" customHeight="false" outlineLevel="0" collapsed="false">
      <c r="A54" s="138" t="s">
        <v>387</v>
      </c>
      <c r="B54" s="168" t="n">
        <v>8.3</v>
      </c>
      <c r="C54" s="168" t="n">
        <v>8.9</v>
      </c>
      <c r="D54" s="168" t="n">
        <v>72.2</v>
      </c>
      <c r="E54" s="168" t="n">
        <v>70.3</v>
      </c>
      <c r="F54" s="168" t="n">
        <v>68.9</v>
      </c>
      <c r="G54" s="168" t="n">
        <v>67.9</v>
      </c>
    </row>
    <row r="55" customFormat="false" ht="10.5" hidden="false" customHeight="false" outlineLevel="0" collapsed="false">
      <c r="A55" s="138" t="s">
        <v>388</v>
      </c>
      <c r="B55" s="168" t="n">
        <v>0.8</v>
      </c>
      <c r="C55" s="168" t="n">
        <v>1.9</v>
      </c>
      <c r="D55" s="168" t="n">
        <v>12.6</v>
      </c>
      <c r="E55" s="168" t="n">
        <v>27.2</v>
      </c>
      <c r="F55" s="168" t="n">
        <v>44.7</v>
      </c>
      <c r="G55" s="168" t="n">
        <v>56.1</v>
      </c>
    </row>
    <row r="56" customFormat="false" ht="10.5" hidden="false" customHeight="false" outlineLevel="0" collapsed="false">
      <c r="A56" s="152" t="s">
        <v>389</v>
      </c>
      <c r="B56" s="169" t="n">
        <v>259.9</v>
      </c>
      <c r="C56" s="169" t="n">
        <v>201.7</v>
      </c>
      <c r="D56" s="169" t="n">
        <v>655.8</v>
      </c>
      <c r="E56" s="169" t="n">
        <v>705.6</v>
      </c>
      <c r="F56" s="169" t="n">
        <v>734.7</v>
      </c>
      <c r="G56" s="169" t="n">
        <v>777.5</v>
      </c>
    </row>
    <row r="57" customFormat="false" ht="10.5" hidden="false" customHeight="false" outlineLevel="0" collapsed="false">
      <c r="A57" s="138"/>
      <c r="B57" s="138"/>
      <c r="C57" s="138"/>
      <c r="D57" s="138"/>
      <c r="E57" s="138"/>
      <c r="F57" s="138"/>
      <c r="G57" s="138"/>
    </row>
    <row r="58" customFormat="false" ht="10.5" hidden="false" customHeight="false" outlineLevel="0" collapsed="false">
      <c r="A58" s="138" t="s">
        <v>390</v>
      </c>
      <c r="B58" s="168" t="s">
        <v>230</v>
      </c>
      <c r="C58" s="168" t="s">
        <v>230</v>
      </c>
      <c r="D58" s="168" t="n">
        <v>26.5</v>
      </c>
      <c r="E58" s="168" t="s">
        <v>230</v>
      </c>
      <c r="F58" s="168" t="s">
        <v>230</v>
      </c>
      <c r="G58" s="168" t="s">
        <v>230</v>
      </c>
    </row>
    <row r="59" customFormat="false" ht="10.5" hidden="false" customHeight="false" outlineLevel="0" collapsed="false">
      <c r="A59" s="152" t="s">
        <v>391</v>
      </c>
      <c r="B59" s="169" t="s">
        <v>230</v>
      </c>
      <c r="C59" s="169" t="s">
        <v>230</v>
      </c>
      <c r="D59" s="169" t="n">
        <v>26.5</v>
      </c>
      <c r="E59" s="169" t="s">
        <v>230</v>
      </c>
      <c r="F59" s="169" t="s">
        <v>230</v>
      </c>
      <c r="G59" s="169" t="s">
        <v>230</v>
      </c>
    </row>
    <row r="60" customFormat="false" ht="10.5" hidden="false" customHeight="false" outlineLevel="0" collapsed="false">
      <c r="A60" s="138"/>
      <c r="B60" s="138"/>
      <c r="C60" s="138"/>
      <c r="D60" s="138"/>
      <c r="E60" s="138"/>
      <c r="F60" s="138"/>
      <c r="G60" s="138"/>
    </row>
    <row r="61" customFormat="false" ht="10.5" hidden="false" customHeight="false" outlineLevel="0" collapsed="false">
      <c r="A61" s="138" t="s">
        <v>392</v>
      </c>
      <c r="B61" s="168" t="n">
        <v>395.6</v>
      </c>
      <c r="C61" s="168" t="n">
        <v>399.2</v>
      </c>
      <c r="D61" s="168" t="n">
        <v>0.2</v>
      </c>
      <c r="E61" s="168" t="n">
        <v>0.2</v>
      </c>
      <c r="F61" s="168" t="n">
        <v>0.2</v>
      </c>
      <c r="G61" s="168" t="n">
        <v>0.2</v>
      </c>
    </row>
    <row r="62" customFormat="false" ht="10.5" hidden="false" customHeight="false" outlineLevel="0" collapsed="false">
      <c r="A62" s="138" t="s">
        <v>393</v>
      </c>
      <c r="B62" s="168" t="s">
        <v>230</v>
      </c>
      <c r="C62" s="168" t="s">
        <v>230</v>
      </c>
      <c r="D62" s="168" t="n">
        <v>166.6</v>
      </c>
      <c r="E62" s="168" t="n">
        <v>167.5</v>
      </c>
      <c r="F62" s="168" t="n">
        <v>167.5</v>
      </c>
      <c r="G62" s="168" t="n">
        <v>167.5</v>
      </c>
    </row>
    <row r="63" customFormat="false" ht="10.5" hidden="false" customHeight="false" outlineLevel="0" collapsed="false">
      <c r="A63" s="138" t="s">
        <v>394</v>
      </c>
      <c r="B63" s="168" t="n">
        <v>-70.2</v>
      </c>
      <c r="C63" s="168" t="n">
        <v>-38.1</v>
      </c>
      <c r="D63" s="168" t="n">
        <v>-23.6</v>
      </c>
      <c r="E63" s="168" t="n">
        <v>-25.6</v>
      </c>
      <c r="F63" s="168" t="n">
        <v>-24.8</v>
      </c>
      <c r="G63" s="168" t="n">
        <v>-12.3</v>
      </c>
    </row>
    <row r="64" customFormat="false" ht="10.5" hidden="false" customHeight="false" outlineLevel="0" collapsed="false">
      <c r="A64" s="138" t="s">
        <v>395</v>
      </c>
      <c r="B64" s="168" t="s">
        <v>230</v>
      </c>
      <c r="C64" s="168" t="s">
        <v>230</v>
      </c>
      <c r="D64" s="168" t="s">
        <v>230</v>
      </c>
      <c r="E64" s="168" t="s">
        <v>230</v>
      </c>
      <c r="F64" s="168" t="s">
        <v>230</v>
      </c>
      <c r="G64" s="168" t="s">
        <v>230</v>
      </c>
    </row>
    <row r="65" customFormat="false" ht="10.5" hidden="false" customHeight="false" outlineLevel="0" collapsed="false">
      <c r="A65" s="138" t="s">
        <v>396</v>
      </c>
      <c r="B65" s="168" t="n">
        <v>-9.6</v>
      </c>
      <c r="C65" s="168" t="n">
        <v>-9.7</v>
      </c>
      <c r="D65" s="168" t="n">
        <v>-28.8</v>
      </c>
      <c r="E65" s="168" t="n">
        <v>-18.7</v>
      </c>
      <c r="F65" s="168" t="n">
        <v>-13</v>
      </c>
      <c r="G65" s="168" t="n">
        <v>-34.7</v>
      </c>
    </row>
    <row r="66" customFormat="false" ht="10.5" hidden="false" customHeight="false" outlineLevel="0" collapsed="false">
      <c r="A66" s="152" t="s">
        <v>397</v>
      </c>
      <c r="B66" s="169" t="n">
        <v>315.8</v>
      </c>
      <c r="C66" s="169" t="n">
        <v>351.4</v>
      </c>
      <c r="D66" s="169" t="n">
        <v>114.4</v>
      </c>
      <c r="E66" s="169" t="n">
        <v>123.4</v>
      </c>
      <c r="F66" s="169" t="n">
        <v>129.9</v>
      </c>
      <c r="G66" s="169" t="n">
        <v>120.7</v>
      </c>
    </row>
    <row r="67" customFormat="false" ht="10.5" hidden="false" customHeight="false" outlineLevel="0" collapsed="false">
      <c r="A67" s="138"/>
      <c r="B67" s="138"/>
      <c r="C67" s="138"/>
      <c r="D67" s="138"/>
      <c r="E67" s="138"/>
      <c r="F67" s="138"/>
      <c r="G67" s="138"/>
    </row>
    <row r="68" customFormat="false" ht="10.5" hidden="false" customHeight="false" outlineLevel="0" collapsed="false">
      <c r="A68" s="138" t="s">
        <v>398</v>
      </c>
      <c r="B68" s="168" t="n">
        <v>2</v>
      </c>
      <c r="C68" s="168" t="n">
        <v>2.2</v>
      </c>
      <c r="D68" s="168" t="n">
        <v>3.8</v>
      </c>
      <c r="E68" s="168" t="n">
        <v>3.8</v>
      </c>
      <c r="F68" s="168" t="n">
        <v>4.1</v>
      </c>
      <c r="G68" s="168" t="n">
        <v>4.2</v>
      </c>
    </row>
    <row r="69" customFormat="false" ht="10.5" hidden="false" customHeight="false" outlineLevel="0" collapsed="false">
      <c r="A69" s="138"/>
      <c r="B69" s="138"/>
      <c r="C69" s="138"/>
      <c r="D69" s="138"/>
      <c r="E69" s="138"/>
      <c r="F69" s="138"/>
      <c r="G69" s="138"/>
    </row>
    <row r="70" customFormat="false" ht="10.5" hidden="false" customHeight="false" outlineLevel="0" collapsed="false">
      <c r="A70" s="152" t="s">
        <v>399</v>
      </c>
      <c r="B70" s="194" t="n">
        <v>317.8</v>
      </c>
      <c r="C70" s="194" t="n">
        <v>353.6</v>
      </c>
      <c r="D70" s="194" t="n">
        <v>144.7</v>
      </c>
      <c r="E70" s="194" t="n">
        <v>127.2</v>
      </c>
      <c r="F70" s="194" t="n">
        <v>134</v>
      </c>
      <c r="G70" s="194" t="n">
        <v>124.9</v>
      </c>
    </row>
    <row r="71" customFormat="false" ht="10.5" hidden="false" customHeight="false" outlineLevel="0" collapsed="false">
      <c r="A71" s="138"/>
      <c r="B71" s="138"/>
      <c r="C71" s="138"/>
      <c r="D71" s="138"/>
      <c r="E71" s="138"/>
      <c r="F71" s="138"/>
      <c r="G71" s="138"/>
    </row>
    <row r="72" customFormat="false" ht="10.5" hidden="false" customHeight="false" outlineLevel="0" collapsed="false">
      <c r="A72" s="152" t="s">
        <v>400</v>
      </c>
      <c r="B72" s="195" t="n">
        <v>577.7</v>
      </c>
      <c r="C72" s="195" t="n">
        <v>555.3</v>
      </c>
      <c r="D72" s="195" t="n">
        <v>800.5</v>
      </c>
      <c r="E72" s="195" t="n">
        <v>832.8</v>
      </c>
      <c r="F72" s="195" t="n">
        <v>868.7</v>
      </c>
      <c r="G72" s="195" t="n">
        <v>902.4</v>
      </c>
    </row>
    <row r="73" customFormat="false" ht="10.5" hidden="false" customHeight="false" outlineLevel="0" collapsed="false">
      <c r="A73" s="138"/>
      <c r="B73" s="138"/>
      <c r="C73" s="138"/>
      <c r="D73" s="138"/>
      <c r="E73" s="138"/>
      <c r="F73" s="138"/>
      <c r="G73" s="138"/>
    </row>
    <row r="74" customFormat="false" ht="10.5" hidden="false" customHeight="false" outlineLevel="0" collapsed="false">
      <c r="A74" s="152" t="s">
        <v>316</v>
      </c>
      <c r="B74" s="138"/>
      <c r="C74" s="138"/>
      <c r="D74" s="138"/>
      <c r="E74" s="138"/>
      <c r="F74" s="138"/>
      <c r="G74" s="138"/>
    </row>
    <row r="75" customFormat="false" ht="10.5" hidden="false" customHeight="false" outlineLevel="0" collapsed="false">
      <c r="A75" s="138" t="s">
        <v>401</v>
      </c>
      <c r="B75" s="168" t="s">
        <v>219</v>
      </c>
      <c r="C75" s="168" t="s">
        <v>219</v>
      </c>
      <c r="D75" s="168" t="n">
        <v>0.17</v>
      </c>
      <c r="E75" s="168" t="n">
        <v>0.17</v>
      </c>
      <c r="F75" s="168" t="n">
        <v>0.17</v>
      </c>
      <c r="G75" s="168" t="n">
        <v>0.17</v>
      </c>
    </row>
    <row r="76" customFormat="false" ht="10.5" hidden="false" customHeight="false" outlineLevel="0" collapsed="false">
      <c r="A76" s="138" t="s">
        <v>402</v>
      </c>
      <c r="B76" s="168" t="s">
        <v>219</v>
      </c>
      <c r="C76" s="168" t="s">
        <v>219</v>
      </c>
      <c r="D76" s="168" t="n">
        <v>0.17</v>
      </c>
      <c r="E76" s="168" t="n">
        <v>0.17</v>
      </c>
      <c r="F76" s="168" t="n">
        <v>0.17</v>
      </c>
      <c r="G76" s="168" t="n">
        <v>0.17</v>
      </c>
    </row>
    <row r="77" customFormat="false" ht="10.5" hidden="false" customHeight="false" outlineLevel="0" collapsed="false">
      <c r="A77" s="138" t="s">
        <v>403</v>
      </c>
      <c r="B77" s="167" t="s">
        <v>219</v>
      </c>
      <c r="C77" s="167" t="s">
        <v>219</v>
      </c>
      <c r="D77" s="186" t="n">
        <v>672.94</v>
      </c>
      <c r="E77" s="186" t="n">
        <v>725.88</v>
      </c>
      <c r="F77" s="186" t="n">
        <v>764.12</v>
      </c>
      <c r="G77" s="186" t="n">
        <v>710</v>
      </c>
    </row>
    <row r="78" customFormat="false" ht="10.5" hidden="false" customHeight="false" outlineLevel="0" collapsed="false">
      <c r="A78" s="138" t="s">
        <v>404</v>
      </c>
      <c r="B78" s="168" t="n">
        <v>-48.9</v>
      </c>
      <c r="C78" s="168" t="n">
        <v>-2</v>
      </c>
      <c r="D78" s="168" t="n">
        <v>-394.7</v>
      </c>
      <c r="E78" s="168" t="n">
        <v>-381.3</v>
      </c>
      <c r="F78" s="168" t="n">
        <v>-365.8</v>
      </c>
      <c r="G78" s="168" t="n">
        <v>-384.5</v>
      </c>
    </row>
    <row r="79" customFormat="false" ht="10.5" hidden="false" customHeight="false" outlineLevel="0" collapsed="false">
      <c r="A79" s="138" t="s">
        <v>405</v>
      </c>
      <c r="B79" s="167" t="s">
        <v>219</v>
      </c>
      <c r="C79" s="167" t="s">
        <v>219</v>
      </c>
      <c r="D79" s="186" t="n">
        <v>-2321.76</v>
      </c>
      <c r="E79" s="186" t="n">
        <v>-2242.94</v>
      </c>
      <c r="F79" s="186" t="n">
        <v>-2151.76</v>
      </c>
      <c r="G79" s="186" t="n">
        <v>-2261.76</v>
      </c>
    </row>
    <row r="80" customFormat="false" ht="10.5" hidden="false" customHeight="false" outlineLevel="0" collapsed="false">
      <c r="A80" s="138" t="s">
        <v>406</v>
      </c>
      <c r="B80" s="168" t="n">
        <v>141.9</v>
      </c>
      <c r="C80" s="168" t="n">
        <v>71.9</v>
      </c>
      <c r="D80" s="168" t="n">
        <v>424</v>
      </c>
      <c r="E80" s="168" t="n">
        <v>445.5</v>
      </c>
      <c r="F80" s="168" t="n">
        <v>443.3</v>
      </c>
      <c r="G80" s="168" t="n">
        <v>486</v>
      </c>
    </row>
    <row r="81" customFormat="false" ht="10.5" hidden="false" customHeight="false" outlineLevel="0" collapsed="false">
      <c r="A81" s="138" t="s">
        <v>407</v>
      </c>
      <c r="B81" s="168" t="n">
        <v>84.6</v>
      </c>
      <c r="C81" s="168" t="n">
        <v>44.1</v>
      </c>
      <c r="D81" s="168" t="n">
        <v>402.9</v>
      </c>
      <c r="E81" s="168" t="n">
        <v>417.5</v>
      </c>
      <c r="F81" s="168" t="n">
        <v>406.5</v>
      </c>
      <c r="G81" s="168" t="n">
        <v>445.7</v>
      </c>
    </row>
    <row r="82" customFormat="false" ht="10.5" hidden="false" customHeight="false" outlineLevel="0" collapsed="false">
      <c r="A82" s="138" t="s">
        <v>408</v>
      </c>
      <c r="B82" s="168" t="n">
        <v>18.6</v>
      </c>
      <c r="C82" s="168" t="n">
        <v>19</v>
      </c>
      <c r="D82" s="168" t="n">
        <v>20.1</v>
      </c>
      <c r="E82" s="168" t="n">
        <v>24.1</v>
      </c>
      <c r="F82" s="168" t="n">
        <v>23.3</v>
      </c>
      <c r="G82" s="168" t="s">
        <v>219</v>
      </c>
    </row>
    <row r="83" customFormat="false" ht="10.5" hidden="false" customHeight="false" outlineLevel="0" collapsed="false">
      <c r="A83" s="138" t="s">
        <v>409</v>
      </c>
      <c r="B83" s="168" t="n">
        <v>33.6</v>
      </c>
      <c r="C83" s="168" t="n">
        <v>36.8</v>
      </c>
      <c r="D83" s="168" t="n">
        <v>46.4</v>
      </c>
      <c r="E83" s="168" t="n">
        <v>53.6</v>
      </c>
      <c r="F83" s="168" t="n">
        <v>65.6</v>
      </c>
      <c r="G83" s="168" t="s">
        <v>219</v>
      </c>
    </row>
    <row r="84" customFormat="false" ht="10.5" hidden="false" customHeight="false" outlineLevel="0" collapsed="false">
      <c r="A84" s="138" t="s">
        <v>410</v>
      </c>
      <c r="B84" s="168" t="n">
        <v>2</v>
      </c>
      <c r="C84" s="168" t="n">
        <v>2.2</v>
      </c>
      <c r="D84" s="168" t="n">
        <v>3.8</v>
      </c>
      <c r="E84" s="168" t="n">
        <v>3.8</v>
      </c>
      <c r="F84" s="168" t="n">
        <v>4.1</v>
      </c>
      <c r="G84" s="168" t="n">
        <v>4.2</v>
      </c>
    </row>
    <row r="85" customFormat="false" ht="10.5" hidden="false" customHeight="false" outlineLevel="0" collapsed="false">
      <c r="A85" s="138" t="s">
        <v>411</v>
      </c>
      <c r="B85" s="173" t="s">
        <v>219</v>
      </c>
      <c r="C85" s="173" t="s">
        <v>412</v>
      </c>
      <c r="D85" s="173" t="s">
        <v>413</v>
      </c>
      <c r="E85" s="173" t="s">
        <v>413</v>
      </c>
      <c r="F85" s="173" t="s">
        <v>412</v>
      </c>
      <c r="G85" s="173" t="s">
        <v>219</v>
      </c>
    </row>
    <row r="86" customFormat="false" ht="10.5" hidden="false" customHeight="false" outlineLevel="0" collapsed="false">
      <c r="A86" s="138" t="s">
        <v>414</v>
      </c>
      <c r="B86" s="168" t="s">
        <v>219</v>
      </c>
      <c r="C86" s="168" t="s">
        <v>219</v>
      </c>
      <c r="D86" s="168" t="n">
        <v>0.9</v>
      </c>
      <c r="E86" s="168" t="s">
        <v>219</v>
      </c>
      <c r="F86" s="168" t="s">
        <v>219</v>
      </c>
      <c r="G86" s="168" t="s">
        <v>219</v>
      </c>
    </row>
    <row r="87" customFormat="false" ht="10.5" hidden="false" customHeight="false" outlineLevel="0" collapsed="false">
      <c r="A87" s="138" t="s">
        <v>415</v>
      </c>
      <c r="B87" s="168" t="n">
        <v>9.3</v>
      </c>
      <c r="C87" s="168" t="n">
        <v>10.5</v>
      </c>
      <c r="D87" s="168" t="n">
        <v>6.4</v>
      </c>
      <c r="E87" s="168" t="n">
        <v>7.7</v>
      </c>
      <c r="F87" s="168" t="n">
        <v>8.7</v>
      </c>
      <c r="G87" s="168" t="n">
        <v>11.6</v>
      </c>
    </row>
    <row r="88" customFormat="false" ht="10.5" hidden="false" customHeight="false" outlineLevel="0" collapsed="false">
      <c r="A88" s="138" t="s">
        <v>416</v>
      </c>
      <c r="B88" s="168" t="n">
        <v>9.3</v>
      </c>
      <c r="C88" s="168" t="n">
        <v>11.4</v>
      </c>
      <c r="D88" s="168" t="n">
        <v>17.4</v>
      </c>
      <c r="E88" s="168" t="n">
        <v>12.6</v>
      </c>
      <c r="F88" s="168" t="n">
        <v>15.5</v>
      </c>
      <c r="G88" s="168" t="n">
        <v>19.1</v>
      </c>
    </row>
    <row r="89" customFormat="false" ht="10.5" hidden="false" customHeight="false" outlineLevel="0" collapsed="false">
      <c r="A89" s="138" t="s">
        <v>417</v>
      </c>
      <c r="B89" s="168" t="n">
        <v>11.5</v>
      </c>
      <c r="C89" s="168" t="n">
        <v>14.3</v>
      </c>
      <c r="D89" s="168" t="n">
        <v>14.3</v>
      </c>
      <c r="E89" s="168" t="n">
        <v>16.4</v>
      </c>
      <c r="F89" s="168" t="n">
        <v>20.8</v>
      </c>
      <c r="G89" s="168" t="n">
        <v>19</v>
      </c>
    </row>
    <row r="90" customFormat="false" ht="10.5" hidden="false" customHeight="false" outlineLevel="0" collapsed="false">
      <c r="A90" s="138" t="s">
        <v>418</v>
      </c>
      <c r="B90" s="168" t="n">
        <v>24.3</v>
      </c>
      <c r="C90" s="168" t="n">
        <v>24.7</v>
      </c>
      <c r="D90" s="168" t="n">
        <v>18.4</v>
      </c>
      <c r="E90" s="168" t="n">
        <v>19.6</v>
      </c>
      <c r="F90" s="168" t="n">
        <v>20.5</v>
      </c>
      <c r="G90" s="168" t="s">
        <v>219</v>
      </c>
    </row>
    <row r="91" customFormat="false" ht="10.5" hidden="false" customHeight="false" outlineLevel="0" collapsed="false">
      <c r="A91" s="138" t="s">
        <v>419</v>
      </c>
      <c r="B91" s="168" t="n">
        <v>209.2</v>
      </c>
      <c r="C91" s="168" t="n">
        <v>194.3</v>
      </c>
      <c r="D91" s="168" t="n">
        <v>108</v>
      </c>
      <c r="E91" s="168" t="n">
        <v>126.2</v>
      </c>
      <c r="F91" s="168" t="n">
        <v>160.2</v>
      </c>
      <c r="G91" s="168" t="s">
        <v>219</v>
      </c>
    </row>
    <row r="92" customFormat="false" ht="10.5" hidden="false" customHeight="false" outlineLevel="0" collapsed="false">
      <c r="A92" s="138" t="s">
        <v>420</v>
      </c>
      <c r="B92" s="168" t="s">
        <v>230</v>
      </c>
      <c r="C92" s="168" t="s">
        <v>230</v>
      </c>
      <c r="D92" s="168" t="s">
        <v>230</v>
      </c>
      <c r="E92" s="168" t="n">
        <v>5.4</v>
      </c>
      <c r="F92" s="168" t="n">
        <v>9.7</v>
      </c>
      <c r="G92" s="168" t="s">
        <v>230</v>
      </c>
    </row>
    <row r="93" customFormat="false" ht="10.5" hidden="false" customHeight="false" outlineLevel="0" collapsed="false">
      <c r="A93" s="138" t="s">
        <v>421</v>
      </c>
      <c r="B93" s="196" t="s">
        <v>219</v>
      </c>
      <c r="C93" s="196" t="n">
        <v>3000</v>
      </c>
      <c r="D93" s="196" t="n">
        <v>3000</v>
      </c>
      <c r="E93" s="196" t="n">
        <v>4683</v>
      </c>
      <c r="F93" s="196" t="n">
        <v>5510</v>
      </c>
      <c r="G93" s="196" t="s">
        <v>219</v>
      </c>
    </row>
    <row r="94" customFormat="false" ht="10.5" hidden="false" customHeight="false" outlineLevel="0" collapsed="false">
      <c r="A94" s="138" t="s">
        <v>422</v>
      </c>
      <c r="B94" s="168" t="n">
        <v>3.4</v>
      </c>
      <c r="C94" s="168" t="n">
        <v>3</v>
      </c>
      <c r="D94" s="168" t="n">
        <v>2.5</v>
      </c>
      <c r="E94" s="168" t="n">
        <v>1.3</v>
      </c>
      <c r="F94" s="168" t="n">
        <v>1.5</v>
      </c>
      <c r="G94" s="168" t="s">
        <v>219</v>
      </c>
    </row>
    <row r="95" customFormat="false" ht="10.5" hidden="false" customHeight="false" outlineLevel="0" collapsed="false">
      <c r="A95" s="138" t="s">
        <v>329</v>
      </c>
      <c r="B95" s="188" t="n">
        <v>41088</v>
      </c>
      <c r="C95" s="188" t="n">
        <v>41348</v>
      </c>
      <c r="D95" s="188" t="n">
        <v>41712</v>
      </c>
      <c r="E95" s="188" t="n">
        <v>41712</v>
      </c>
      <c r="F95" s="188" t="n">
        <v>41712</v>
      </c>
      <c r="G95" s="188" t="n">
        <v>41957</v>
      </c>
    </row>
    <row r="96" customFormat="false" ht="10.5" hidden="false" customHeight="false" outlineLevel="0" collapsed="false">
      <c r="A96" s="138" t="s">
        <v>330</v>
      </c>
      <c r="B96" s="173" t="s">
        <v>331</v>
      </c>
      <c r="C96" s="173" t="s">
        <v>423</v>
      </c>
      <c r="D96" s="173" t="s">
        <v>423</v>
      </c>
      <c r="E96" s="173" t="s">
        <v>333</v>
      </c>
      <c r="F96" s="173" t="s">
        <v>334</v>
      </c>
      <c r="G96" s="173" t="s">
        <v>334</v>
      </c>
    </row>
    <row r="97" customFormat="false" ht="10.5" hidden="false" customHeight="false" outlineLevel="0" collapsed="false">
      <c r="A97" s="138" t="s">
        <v>335</v>
      </c>
      <c r="B97" s="173" t="s">
        <v>424</v>
      </c>
      <c r="C97" s="173" t="s">
        <v>424</v>
      </c>
      <c r="D97" s="173" t="s">
        <v>424</v>
      </c>
      <c r="E97" s="173" t="s">
        <v>336</v>
      </c>
      <c r="F97" s="173" t="s">
        <v>336</v>
      </c>
      <c r="G97" s="173" t="s">
        <v>336</v>
      </c>
    </row>
    <row r="98" customFormat="false" ht="10.5" hidden="false" customHeight="false" outlineLevel="0" collapsed="false">
      <c r="A98" s="138"/>
      <c r="B98" s="138"/>
      <c r="C98" s="138"/>
      <c r="D98" s="138"/>
      <c r="E98" s="138"/>
      <c r="F98" s="138"/>
      <c r="G98" s="138"/>
    </row>
    <row r="99" customFormat="false" ht="10.5" hidden="false" customHeight="false" outlineLevel="0" collapsed="false">
      <c r="A99" s="164"/>
      <c r="B99" s="164"/>
      <c r="C99" s="164"/>
      <c r="D99" s="164"/>
      <c r="E99" s="164"/>
      <c r="F99" s="164"/>
      <c r="G99" s="164"/>
    </row>
    <row r="100" customFormat="false" ht="10.5" hidden="false" customHeight="false" outlineLevel="0" collapsed="false">
      <c r="A100" s="134" t="s">
        <v>425</v>
      </c>
    </row>
    <row r="101" customFormat="false" ht="55.2" hidden="false" customHeight="false" outlineLevel="0" collapsed="false">
      <c r="A101" s="174" t="s">
        <v>254</v>
      </c>
    </row>
  </sheetData>
  <printOptions headings="false" gridLines="false" gridLinesSet="true" horizontalCentered="false" verticalCentered="false"/>
  <pageMargins left="0.2" right="0.2" top="0.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false"/>
  </sheetPr>
  <dimension ref="A5:IU72"/>
  <sheetViews>
    <sheetView showFormulas="false" showGridLines="true" showRowColHeaders="true" showZeros="true" rightToLeft="false" tabSelected="false" showOutlineSymbols="true" defaultGridColor="true" view="normal" topLeftCell="A12" colorId="64" zoomScale="100" zoomScaleNormal="100" zoomScalePageLayoutView="100" workbookViewId="0">
      <selection pane="topLeft" activeCell="A19" activeCellId="0" sqref="A19"/>
    </sheetView>
  </sheetViews>
  <sheetFormatPr defaultColWidth="8.83203125" defaultRowHeight="10.5" zeroHeight="false" outlineLevelRow="0" outlineLevelCol="0"/>
  <cols>
    <col collapsed="false" customWidth="true" hidden="false" outlineLevel="0" max="1" min="1" style="134" width="45.83"/>
    <col collapsed="false" customWidth="true" hidden="false" outlineLevel="0" max="7" min="2" style="134" width="14.83"/>
    <col collapsed="false" customWidth="false" hidden="false" outlineLevel="0" max="256" min="8" style="134" width="8.83"/>
    <col collapsed="false" customWidth="true" hidden="false" outlineLevel="0" max="257" min="257" style="134" width="45.83"/>
    <col collapsed="false" customWidth="true" hidden="false" outlineLevel="0" max="263" min="258" style="134" width="14.83"/>
    <col collapsed="false" customWidth="false" hidden="false" outlineLevel="0" max="512" min="264" style="134" width="8.83"/>
    <col collapsed="false" customWidth="true" hidden="false" outlineLevel="0" max="513" min="513" style="134" width="45.83"/>
    <col collapsed="false" customWidth="true" hidden="false" outlineLevel="0" max="519" min="514" style="134" width="14.83"/>
    <col collapsed="false" customWidth="false" hidden="false" outlineLevel="0" max="768" min="520" style="134" width="8.83"/>
    <col collapsed="false" customWidth="true" hidden="false" outlineLevel="0" max="769" min="769" style="134" width="45.83"/>
    <col collapsed="false" customWidth="true" hidden="false" outlineLevel="0" max="775" min="770" style="134" width="14.83"/>
    <col collapsed="false" customWidth="false" hidden="false" outlineLevel="0" max="1024" min="776" style="134" width="8.83"/>
    <col collapsed="false" customWidth="true" hidden="false" outlineLevel="0" max="1025" min="1025" style="134" width="45.83"/>
    <col collapsed="false" customWidth="true" hidden="false" outlineLevel="0" max="1031" min="1026" style="134" width="14.83"/>
    <col collapsed="false" customWidth="false" hidden="false" outlineLevel="0" max="1280" min="1032" style="134" width="8.83"/>
    <col collapsed="false" customWidth="true" hidden="false" outlineLevel="0" max="1281" min="1281" style="134" width="45.83"/>
    <col collapsed="false" customWidth="true" hidden="false" outlineLevel="0" max="1287" min="1282" style="134" width="14.83"/>
    <col collapsed="false" customWidth="false" hidden="false" outlineLevel="0" max="1536" min="1288" style="134" width="8.83"/>
    <col collapsed="false" customWidth="true" hidden="false" outlineLevel="0" max="1537" min="1537" style="134" width="45.83"/>
    <col collapsed="false" customWidth="true" hidden="false" outlineLevel="0" max="1543" min="1538" style="134" width="14.83"/>
    <col collapsed="false" customWidth="false" hidden="false" outlineLevel="0" max="1792" min="1544" style="134" width="8.83"/>
    <col collapsed="false" customWidth="true" hidden="false" outlineLevel="0" max="1793" min="1793" style="134" width="45.83"/>
    <col collapsed="false" customWidth="true" hidden="false" outlineLevel="0" max="1799" min="1794" style="134" width="14.83"/>
    <col collapsed="false" customWidth="false" hidden="false" outlineLevel="0" max="2048" min="1800" style="134" width="8.83"/>
    <col collapsed="false" customWidth="true" hidden="false" outlineLevel="0" max="2049" min="2049" style="134" width="45.83"/>
    <col collapsed="false" customWidth="true" hidden="false" outlineLevel="0" max="2055" min="2050" style="134" width="14.83"/>
    <col collapsed="false" customWidth="false" hidden="false" outlineLevel="0" max="2304" min="2056" style="134" width="8.83"/>
    <col collapsed="false" customWidth="true" hidden="false" outlineLevel="0" max="2305" min="2305" style="134" width="45.83"/>
    <col collapsed="false" customWidth="true" hidden="false" outlineLevel="0" max="2311" min="2306" style="134" width="14.83"/>
    <col collapsed="false" customWidth="false" hidden="false" outlineLevel="0" max="2560" min="2312" style="134" width="8.83"/>
    <col collapsed="false" customWidth="true" hidden="false" outlineLevel="0" max="2561" min="2561" style="134" width="45.83"/>
    <col collapsed="false" customWidth="true" hidden="false" outlineLevel="0" max="2567" min="2562" style="134" width="14.83"/>
    <col collapsed="false" customWidth="false" hidden="false" outlineLevel="0" max="2816" min="2568" style="134" width="8.83"/>
    <col collapsed="false" customWidth="true" hidden="false" outlineLevel="0" max="2817" min="2817" style="134" width="45.83"/>
    <col collapsed="false" customWidth="true" hidden="false" outlineLevel="0" max="2823" min="2818" style="134" width="14.83"/>
    <col collapsed="false" customWidth="false" hidden="false" outlineLevel="0" max="3072" min="2824" style="134" width="8.83"/>
    <col collapsed="false" customWidth="true" hidden="false" outlineLevel="0" max="3073" min="3073" style="134" width="45.83"/>
    <col collapsed="false" customWidth="true" hidden="false" outlineLevel="0" max="3079" min="3074" style="134" width="14.83"/>
    <col collapsed="false" customWidth="false" hidden="false" outlineLevel="0" max="3328" min="3080" style="134" width="8.83"/>
    <col collapsed="false" customWidth="true" hidden="false" outlineLevel="0" max="3329" min="3329" style="134" width="45.83"/>
    <col collapsed="false" customWidth="true" hidden="false" outlineLevel="0" max="3335" min="3330" style="134" width="14.83"/>
    <col collapsed="false" customWidth="false" hidden="false" outlineLevel="0" max="3584" min="3336" style="134" width="8.83"/>
    <col collapsed="false" customWidth="true" hidden="false" outlineLevel="0" max="3585" min="3585" style="134" width="45.83"/>
    <col collapsed="false" customWidth="true" hidden="false" outlineLevel="0" max="3591" min="3586" style="134" width="14.83"/>
    <col collapsed="false" customWidth="false" hidden="false" outlineLevel="0" max="3840" min="3592" style="134" width="8.83"/>
    <col collapsed="false" customWidth="true" hidden="false" outlineLevel="0" max="3841" min="3841" style="134" width="45.83"/>
    <col collapsed="false" customWidth="true" hidden="false" outlineLevel="0" max="3847" min="3842" style="134" width="14.83"/>
    <col collapsed="false" customWidth="false" hidden="false" outlineLevel="0" max="4096" min="3848" style="134" width="8.83"/>
    <col collapsed="false" customWidth="true" hidden="false" outlineLevel="0" max="4097" min="4097" style="134" width="45.83"/>
    <col collapsed="false" customWidth="true" hidden="false" outlineLevel="0" max="4103" min="4098" style="134" width="14.83"/>
    <col collapsed="false" customWidth="false" hidden="false" outlineLevel="0" max="4352" min="4104" style="134" width="8.83"/>
    <col collapsed="false" customWidth="true" hidden="false" outlineLevel="0" max="4353" min="4353" style="134" width="45.83"/>
    <col collapsed="false" customWidth="true" hidden="false" outlineLevel="0" max="4359" min="4354" style="134" width="14.83"/>
    <col collapsed="false" customWidth="false" hidden="false" outlineLevel="0" max="4608" min="4360" style="134" width="8.83"/>
    <col collapsed="false" customWidth="true" hidden="false" outlineLevel="0" max="4609" min="4609" style="134" width="45.83"/>
    <col collapsed="false" customWidth="true" hidden="false" outlineLevel="0" max="4615" min="4610" style="134" width="14.83"/>
    <col collapsed="false" customWidth="false" hidden="false" outlineLevel="0" max="4864" min="4616" style="134" width="8.83"/>
    <col collapsed="false" customWidth="true" hidden="false" outlineLevel="0" max="4865" min="4865" style="134" width="45.83"/>
    <col collapsed="false" customWidth="true" hidden="false" outlineLevel="0" max="4871" min="4866" style="134" width="14.83"/>
    <col collapsed="false" customWidth="false" hidden="false" outlineLevel="0" max="5120" min="4872" style="134" width="8.83"/>
    <col collapsed="false" customWidth="true" hidden="false" outlineLevel="0" max="5121" min="5121" style="134" width="45.83"/>
    <col collapsed="false" customWidth="true" hidden="false" outlineLevel="0" max="5127" min="5122" style="134" width="14.83"/>
    <col collapsed="false" customWidth="false" hidden="false" outlineLevel="0" max="5376" min="5128" style="134" width="8.83"/>
    <col collapsed="false" customWidth="true" hidden="false" outlineLevel="0" max="5377" min="5377" style="134" width="45.83"/>
    <col collapsed="false" customWidth="true" hidden="false" outlineLevel="0" max="5383" min="5378" style="134" width="14.83"/>
    <col collapsed="false" customWidth="false" hidden="false" outlineLevel="0" max="5632" min="5384" style="134" width="8.83"/>
    <col collapsed="false" customWidth="true" hidden="false" outlineLevel="0" max="5633" min="5633" style="134" width="45.83"/>
    <col collapsed="false" customWidth="true" hidden="false" outlineLevel="0" max="5639" min="5634" style="134" width="14.83"/>
    <col collapsed="false" customWidth="false" hidden="false" outlineLevel="0" max="5888" min="5640" style="134" width="8.83"/>
    <col collapsed="false" customWidth="true" hidden="false" outlineLevel="0" max="5889" min="5889" style="134" width="45.83"/>
    <col collapsed="false" customWidth="true" hidden="false" outlineLevel="0" max="5895" min="5890" style="134" width="14.83"/>
    <col collapsed="false" customWidth="false" hidden="false" outlineLevel="0" max="6144" min="5896" style="134" width="8.83"/>
    <col collapsed="false" customWidth="true" hidden="false" outlineLevel="0" max="6145" min="6145" style="134" width="45.83"/>
    <col collapsed="false" customWidth="true" hidden="false" outlineLevel="0" max="6151" min="6146" style="134" width="14.83"/>
    <col collapsed="false" customWidth="false" hidden="false" outlineLevel="0" max="6400" min="6152" style="134" width="8.83"/>
    <col collapsed="false" customWidth="true" hidden="false" outlineLevel="0" max="6401" min="6401" style="134" width="45.83"/>
    <col collapsed="false" customWidth="true" hidden="false" outlineLevel="0" max="6407" min="6402" style="134" width="14.83"/>
    <col collapsed="false" customWidth="false" hidden="false" outlineLevel="0" max="6656" min="6408" style="134" width="8.83"/>
    <col collapsed="false" customWidth="true" hidden="false" outlineLevel="0" max="6657" min="6657" style="134" width="45.83"/>
    <col collapsed="false" customWidth="true" hidden="false" outlineLevel="0" max="6663" min="6658" style="134" width="14.83"/>
    <col collapsed="false" customWidth="false" hidden="false" outlineLevel="0" max="6912" min="6664" style="134" width="8.83"/>
    <col collapsed="false" customWidth="true" hidden="false" outlineLevel="0" max="6913" min="6913" style="134" width="45.83"/>
    <col collapsed="false" customWidth="true" hidden="false" outlineLevel="0" max="6919" min="6914" style="134" width="14.83"/>
    <col collapsed="false" customWidth="false" hidden="false" outlineLevel="0" max="7168" min="6920" style="134" width="8.83"/>
    <col collapsed="false" customWidth="true" hidden="false" outlineLevel="0" max="7169" min="7169" style="134" width="45.83"/>
    <col collapsed="false" customWidth="true" hidden="false" outlineLevel="0" max="7175" min="7170" style="134" width="14.83"/>
    <col collapsed="false" customWidth="false" hidden="false" outlineLevel="0" max="7424" min="7176" style="134" width="8.83"/>
    <col collapsed="false" customWidth="true" hidden="false" outlineLevel="0" max="7425" min="7425" style="134" width="45.83"/>
    <col collapsed="false" customWidth="true" hidden="false" outlineLevel="0" max="7431" min="7426" style="134" width="14.83"/>
    <col collapsed="false" customWidth="false" hidden="false" outlineLevel="0" max="7680" min="7432" style="134" width="8.83"/>
    <col collapsed="false" customWidth="true" hidden="false" outlineLevel="0" max="7681" min="7681" style="134" width="45.83"/>
    <col collapsed="false" customWidth="true" hidden="false" outlineLevel="0" max="7687" min="7682" style="134" width="14.83"/>
    <col collapsed="false" customWidth="false" hidden="false" outlineLevel="0" max="7936" min="7688" style="134" width="8.83"/>
    <col collapsed="false" customWidth="true" hidden="false" outlineLevel="0" max="7937" min="7937" style="134" width="45.83"/>
    <col collapsed="false" customWidth="true" hidden="false" outlineLevel="0" max="7943" min="7938" style="134" width="14.83"/>
    <col collapsed="false" customWidth="false" hidden="false" outlineLevel="0" max="8192" min="7944" style="134" width="8.83"/>
    <col collapsed="false" customWidth="true" hidden="false" outlineLevel="0" max="8193" min="8193" style="134" width="45.83"/>
    <col collapsed="false" customWidth="true" hidden="false" outlineLevel="0" max="8199" min="8194" style="134" width="14.83"/>
    <col collapsed="false" customWidth="false" hidden="false" outlineLevel="0" max="8448" min="8200" style="134" width="8.83"/>
    <col collapsed="false" customWidth="true" hidden="false" outlineLevel="0" max="8449" min="8449" style="134" width="45.83"/>
    <col collapsed="false" customWidth="true" hidden="false" outlineLevel="0" max="8455" min="8450" style="134" width="14.83"/>
    <col collapsed="false" customWidth="false" hidden="false" outlineLevel="0" max="8704" min="8456" style="134" width="8.83"/>
    <col collapsed="false" customWidth="true" hidden="false" outlineLevel="0" max="8705" min="8705" style="134" width="45.83"/>
    <col collapsed="false" customWidth="true" hidden="false" outlineLevel="0" max="8711" min="8706" style="134" width="14.83"/>
    <col collapsed="false" customWidth="false" hidden="false" outlineLevel="0" max="8960" min="8712" style="134" width="8.83"/>
    <col collapsed="false" customWidth="true" hidden="false" outlineLevel="0" max="8961" min="8961" style="134" width="45.83"/>
    <col collapsed="false" customWidth="true" hidden="false" outlineLevel="0" max="8967" min="8962" style="134" width="14.83"/>
    <col collapsed="false" customWidth="false" hidden="false" outlineLevel="0" max="9216" min="8968" style="134" width="8.83"/>
    <col collapsed="false" customWidth="true" hidden="false" outlineLevel="0" max="9217" min="9217" style="134" width="45.83"/>
    <col collapsed="false" customWidth="true" hidden="false" outlineLevel="0" max="9223" min="9218" style="134" width="14.83"/>
    <col collapsed="false" customWidth="false" hidden="false" outlineLevel="0" max="9472" min="9224" style="134" width="8.83"/>
    <col collapsed="false" customWidth="true" hidden="false" outlineLevel="0" max="9473" min="9473" style="134" width="45.83"/>
    <col collapsed="false" customWidth="true" hidden="false" outlineLevel="0" max="9479" min="9474" style="134" width="14.83"/>
    <col collapsed="false" customWidth="false" hidden="false" outlineLevel="0" max="9728" min="9480" style="134" width="8.83"/>
    <col collapsed="false" customWidth="true" hidden="false" outlineLevel="0" max="9729" min="9729" style="134" width="45.83"/>
    <col collapsed="false" customWidth="true" hidden="false" outlineLevel="0" max="9735" min="9730" style="134" width="14.83"/>
    <col collapsed="false" customWidth="false" hidden="false" outlineLevel="0" max="9984" min="9736" style="134" width="8.83"/>
    <col collapsed="false" customWidth="true" hidden="false" outlineLevel="0" max="9985" min="9985" style="134" width="45.83"/>
    <col collapsed="false" customWidth="true" hidden="false" outlineLevel="0" max="9991" min="9986" style="134" width="14.83"/>
    <col collapsed="false" customWidth="false" hidden="false" outlineLevel="0" max="10240" min="9992" style="134" width="8.83"/>
    <col collapsed="false" customWidth="true" hidden="false" outlineLevel="0" max="10241" min="10241" style="134" width="45.83"/>
    <col collapsed="false" customWidth="true" hidden="false" outlineLevel="0" max="10247" min="10242" style="134" width="14.83"/>
    <col collapsed="false" customWidth="false" hidden="false" outlineLevel="0" max="10496" min="10248" style="134" width="8.83"/>
    <col collapsed="false" customWidth="true" hidden="false" outlineLevel="0" max="10497" min="10497" style="134" width="45.83"/>
    <col collapsed="false" customWidth="true" hidden="false" outlineLevel="0" max="10503" min="10498" style="134" width="14.83"/>
    <col collapsed="false" customWidth="false" hidden="false" outlineLevel="0" max="10752" min="10504" style="134" width="8.83"/>
    <col collapsed="false" customWidth="true" hidden="false" outlineLevel="0" max="10753" min="10753" style="134" width="45.83"/>
    <col collapsed="false" customWidth="true" hidden="false" outlineLevel="0" max="10759" min="10754" style="134" width="14.83"/>
    <col collapsed="false" customWidth="false" hidden="false" outlineLevel="0" max="11008" min="10760" style="134" width="8.83"/>
    <col collapsed="false" customWidth="true" hidden="false" outlineLevel="0" max="11009" min="11009" style="134" width="45.83"/>
    <col collapsed="false" customWidth="true" hidden="false" outlineLevel="0" max="11015" min="11010" style="134" width="14.83"/>
    <col collapsed="false" customWidth="false" hidden="false" outlineLevel="0" max="11264" min="11016" style="134" width="8.83"/>
    <col collapsed="false" customWidth="true" hidden="false" outlineLevel="0" max="11265" min="11265" style="134" width="45.83"/>
    <col collapsed="false" customWidth="true" hidden="false" outlineLevel="0" max="11271" min="11266" style="134" width="14.83"/>
    <col collapsed="false" customWidth="false" hidden="false" outlineLevel="0" max="11520" min="11272" style="134" width="8.83"/>
    <col collapsed="false" customWidth="true" hidden="false" outlineLevel="0" max="11521" min="11521" style="134" width="45.83"/>
    <col collapsed="false" customWidth="true" hidden="false" outlineLevel="0" max="11527" min="11522" style="134" width="14.83"/>
    <col collapsed="false" customWidth="false" hidden="false" outlineLevel="0" max="11776" min="11528" style="134" width="8.83"/>
    <col collapsed="false" customWidth="true" hidden="false" outlineLevel="0" max="11777" min="11777" style="134" width="45.83"/>
    <col collapsed="false" customWidth="true" hidden="false" outlineLevel="0" max="11783" min="11778" style="134" width="14.83"/>
    <col collapsed="false" customWidth="false" hidden="false" outlineLevel="0" max="12032" min="11784" style="134" width="8.83"/>
    <col collapsed="false" customWidth="true" hidden="false" outlineLevel="0" max="12033" min="12033" style="134" width="45.83"/>
    <col collapsed="false" customWidth="true" hidden="false" outlineLevel="0" max="12039" min="12034" style="134" width="14.83"/>
    <col collapsed="false" customWidth="false" hidden="false" outlineLevel="0" max="12288" min="12040" style="134" width="8.83"/>
    <col collapsed="false" customWidth="true" hidden="false" outlineLevel="0" max="12289" min="12289" style="134" width="45.83"/>
    <col collapsed="false" customWidth="true" hidden="false" outlineLevel="0" max="12295" min="12290" style="134" width="14.83"/>
    <col collapsed="false" customWidth="false" hidden="false" outlineLevel="0" max="12544" min="12296" style="134" width="8.83"/>
    <col collapsed="false" customWidth="true" hidden="false" outlineLevel="0" max="12545" min="12545" style="134" width="45.83"/>
    <col collapsed="false" customWidth="true" hidden="false" outlineLevel="0" max="12551" min="12546" style="134" width="14.83"/>
    <col collapsed="false" customWidth="false" hidden="false" outlineLevel="0" max="12800" min="12552" style="134" width="8.83"/>
    <col collapsed="false" customWidth="true" hidden="false" outlineLevel="0" max="12801" min="12801" style="134" width="45.83"/>
    <col collapsed="false" customWidth="true" hidden="false" outlineLevel="0" max="12807" min="12802" style="134" width="14.83"/>
    <col collapsed="false" customWidth="false" hidden="false" outlineLevel="0" max="13056" min="12808" style="134" width="8.83"/>
    <col collapsed="false" customWidth="true" hidden="false" outlineLevel="0" max="13057" min="13057" style="134" width="45.83"/>
    <col collapsed="false" customWidth="true" hidden="false" outlineLevel="0" max="13063" min="13058" style="134" width="14.83"/>
    <col collapsed="false" customWidth="false" hidden="false" outlineLevel="0" max="13312" min="13064" style="134" width="8.83"/>
    <col collapsed="false" customWidth="true" hidden="false" outlineLevel="0" max="13313" min="13313" style="134" width="45.83"/>
    <col collapsed="false" customWidth="true" hidden="false" outlineLevel="0" max="13319" min="13314" style="134" width="14.83"/>
    <col collapsed="false" customWidth="false" hidden="false" outlineLevel="0" max="13568" min="13320" style="134" width="8.83"/>
    <col collapsed="false" customWidth="true" hidden="false" outlineLevel="0" max="13569" min="13569" style="134" width="45.83"/>
    <col collapsed="false" customWidth="true" hidden="false" outlineLevel="0" max="13575" min="13570" style="134" width="14.83"/>
    <col collapsed="false" customWidth="false" hidden="false" outlineLevel="0" max="13824" min="13576" style="134" width="8.83"/>
    <col collapsed="false" customWidth="true" hidden="false" outlineLevel="0" max="13825" min="13825" style="134" width="45.83"/>
    <col collapsed="false" customWidth="true" hidden="false" outlineLevel="0" max="13831" min="13826" style="134" width="14.83"/>
    <col collapsed="false" customWidth="false" hidden="false" outlineLevel="0" max="14080" min="13832" style="134" width="8.83"/>
    <col collapsed="false" customWidth="true" hidden="false" outlineLevel="0" max="14081" min="14081" style="134" width="45.83"/>
    <col collapsed="false" customWidth="true" hidden="false" outlineLevel="0" max="14087" min="14082" style="134" width="14.83"/>
    <col collapsed="false" customWidth="false" hidden="false" outlineLevel="0" max="14336" min="14088" style="134" width="8.83"/>
    <col collapsed="false" customWidth="true" hidden="false" outlineLevel="0" max="14337" min="14337" style="134" width="45.83"/>
    <col collapsed="false" customWidth="true" hidden="false" outlineLevel="0" max="14343" min="14338" style="134" width="14.83"/>
    <col collapsed="false" customWidth="false" hidden="false" outlineLevel="0" max="14592" min="14344" style="134" width="8.83"/>
    <col collapsed="false" customWidth="true" hidden="false" outlineLevel="0" max="14593" min="14593" style="134" width="45.83"/>
    <col collapsed="false" customWidth="true" hidden="false" outlineLevel="0" max="14599" min="14594" style="134" width="14.83"/>
    <col collapsed="false" customWidth="false" hidden="false" outlineLevel="0" max="14848" min="14600" style="134" width="8.83"/>
    <col collapsed="false" customWidth="true" hidden="false" outlineLevel="0" max="14849" min="14849" style="134" width="45.83"/>
    <col collapsed="false" customWidth="true" hidden="false" outlineLevel="0" max="14855" min="14850" style="134" width="14.83"/>
    <col collapsed="false" customWidth="false" hidden="false" outlineLevel="0" max="15104" min="14856" style="134" width="8.83"/>
    <col collapsed="false" customWidth="true" hidden="false" outlineLevel="0" max="15105" min="15105" style="134" width="45.83"/>
    <col collapsed="false" customWidth="true" hidden="false" outlineLevel="0" max="15111" min="15106" style="134" width="14.83"/>
    <col collapsed="false" customWidth="false" hidden="false" outlineLevel="0" max="15360" min="15112" style="134" width="8.83"/>
    <col collapsed="false" customWidth="true" hidden="false" outlineLevel="0" max="15361" min="15361" style="134" width="45.83"/>
    <col collapsed="false" customWidth="true" hidden="false" outlineLevel="0" max="15367" min="15362" style="134" width="14.83"/>
    <col collapsed="false" customWidth="false" hidden="false" outlineLevel="0" max="15616" min="15368" style="134" width="8.83"/>
    <col collapsed="false" customWidth="true" hidden="false" outlineLevel="0" max="15617" min="15617" style="134" width="45.83"/>
    <col collapsed="false" customWidth="true" hidden="false" outlineLevel="0" max="15623" min="15618" style="134" width="14.83"/>
    <col collapsed="false" customWidth="false" hidden="false" outlineLevel="0" max="15872" min="15624" style="134" width="8.83"/>
    <col collapsed="false" customWidth="true" hidden="false" outlineLevel="0" max="15873" min="15873" style="134" width="45.83"/>
    <col collapsed="false" customWidth="true" hidden="false" outlineLevel="0" max="15879" min="15874" style="134" width="14.83"/>
    <col collapsed="false" customWidth="false" hidden="false" outlineLevel="0" max="16128" min="15880" style="134" width="8.83"/>
    <col collapsed="false" customWidth="true" hidden="false" outlineLevel="0" max="16129" min="16129" style="134" width="45.83"/>
    <col collapsed="false" customWidth="true" hidden="false" outlineLevel="0" max="16135" min="16130" style="134" width="14.83"/>
    <col collapsed="false" customWidth="false" hidden="false" outlineLevel="0" max="16384" min="16136" style="134" width="8.83"/>
  </cols>
  <sheetData>
    <row r="5" customFormat="false" ht="16.15" hidden="false" customHeight="false" outlineLevel="0" collapsed="false">
      <c r="A5" s="135" t="s">
        <v>426</v>
      </c>
    </row>
    <row r="7" customFormat="false" ht="10.5" hidden="false" customHeight="false" outlineLevel="0" collapsed="false">
      <c r="A7" s="136" t="s">
        <v>256</v>
      </c>
      <c r="B7" s="137" t="s">
        <v>257</v>
      </c>
      <c r="C7" s="134" t="s">
        <v>258</v>
      </c>
      <c r="D7" s="138" t="s">
        <v>192</v>
      </c>
      <c r="E7" s="137" t="s">
        <v>259</v>
      </c>
      <c r="F7" s="134" t="s">
        <v>260</v>
      </c>
    </row>
    <row r="8" customFormat="false" ht="10.5" hidden="false" customHeight="false" outlineLevel="0" collapsed="false">
      <c r="A8" s="138"/>
      <c r="B8" s="137" t="s">
        <v>261</v>
      </c>
      <c r="C8" s="134" t="s">
        <v>262</v>
      </c>
      <c r="D8" s="138" t="s">
        <v>192</v>
      </c>
      <c r="E8" s="137" t="s">
        <v>195</v>
      </c>
      <c r="F8" s="134" t="s">
        <v>196</v>
      </c>
    </row>
    <row r="9" customFormat="false" ht="10.5" hidden="false" customHeight="false" outlineLevel="0" collapsed="false">
      <c r="A9" s="138"/>
      <c r="B9" s="137" t="s">
        <v>190</v>
      </c>
      <c r="C9" s="134" t="s">
        <v>263</v>
      </c>
      <c r="D9" s="138" t="s">
        <v>192</v>
      </c>
      <c r="E9" s="137" t="s">
        <v>193</v>
      </c>
      <c r="F9" s="134" t="s">
        <v>194</v>
      </c>
    </row>
    <row r="10" customFormat="false" ht="10.5" hidden="false" customHeight="false" outlineLevel="0" collapsed="false">
      <c r="A10" s="138"/>
      <c r="B10" s="137" t="s">
        <v>197</v>
      </c>
      <c r="C10" s="134" t="s">
        <v>198</v>
      </c>
      <c r="D10" s="138" t="s">
        <v>192</v>
      </c>
      <c r="E10" s="137" t="s">
        <v>199</v>
      </c>
      <c r="F10" s="139" t="s">
        <v>200</v>
      </c>
    </row>
    <row r="11" customFormat="false" ht="10.5" hidden="false" customHeight="false" outlineLevel="0" collapsed="false">
      <c r="A11" s="138"/>
      <c r="B11" s="137" t="s">
        <v>264</v>
      </c>
      <c r="C11" s="134" t="s">
        <v>265</v>
      </c>
      <c r="D11" s="138" t="s">
        <v>192</v>
      </c>
      <c r="E11" s="175"/>
      <c r="F11" s="175"/>
    </row>
    <row r="14" customFormat="false" ht="10.5" hidden="false" customHeight="false" outlineLevel="0" collapsed="false">
      <c r="A14" s="140" t="s">
        <v>427</v>
      </c>
      <c r="B14" s="140"/>
      <c r="C14" s="140"/>
      <c r="D14" s="140"/>
      <c r="E14" s="140"/>
      <c r="F14" s="140"/>
      <c r="G14" s="140"/>
      <c r="H14" s="143"/>
      <c r="I14" s="143"/>
      <c r="J14" s="143"/>
      <c r="K14" s="143"/>
      <c r="L14" s="143"/>
      <c r="M14" s="143"/>
      <c r="N14" s="143"/>
      <c r="O14" s="143"/>
      <c r="P14" s="143"/>
      <c r="Q14" s="143"/>
      <c r="R14" s="143"/>
      <c r="S14" s="143"/>
      <c r="T14" s="143"/>
      <c r="U14" s="143"/>
      <c r="V14" s="143"/>
      <c r="W14" s="143"/>
      <c r="X14" s="143"/>
      <c r="Y14" s="143"/>
      <c r="Z14" s="143"/>
      <c r="AA14" s="143"/>
      <c r="AB14" s="143"/>
      <c r="AC14" s="143"/>
      <c r="AD14" s="143"/>
      <c r="AE14" s="143"/>
      <c r="AF14" s="143"/>
      <c r="AG14" s="143"/>
      <c r="AH14" s="143"/>
      <c r="AI14" s="143"/>
      <c r="AJ14" s="143"/>
      <c r="AK14" s="143"/>
      <c r="AL14" s="143"/>
      <c r="AM14" s="143"/>
      <c r="AN14" s="143"/>
      <c r="AO14" s="143"/>
      <c r="AP14" s="143"/>
      <c r="AQ14" s="143"/>
      <c r="AR14" s="143"/>
      <c r="AS14" s="143"/>
      <c r="AT14" s="143"/>
      <c r="AU14" s="143"/>
      <c r="AV14" s="143"/>
      <c r="AW14" s="143"/>
      <c r="AX14" s="143"/>
      <c r="AY14" s="143"/>
      <c r="AZ14" s="143"/>
      <c r="BA14" s="143"/>
      <c r="BB14" s="143"/>
      <c r="BC14" s="143"/>
      <c r="BD14" s="143"/>
      <c r="BE14" s="143"/>
      <c r="BF14" s="143"/>
      <c r="BG14" s="143"/>
      <c r="BH14" s="143"/>
      <c r="BI14" s="143"/>
      <c r="BJ14" s="143"/>
      <c r="BK14" s="143"/>
      <c r="BL14" s="143"/>
      <c r="BM14" s="143"/>
      <c r="BN14" s="143"/>
      <c r="BO14" s="143"/>
      <c r="BP14" s="143"/>
      <c r="BQ14" s="143"/>
      <c r="BR14" s="143"/>
      <c r="BS14" s="143"/>
      <c r="BT14" s="143"/>
      <c r="BU14" s="143"/>
      <c r="BV14" s="143"/>
      <c r="BW14" s="143"/>
      <c r="BX14" s="143"/>
      <c r="BY14" s="143"/>
      <c r="BZ14" s="143"/>
      <c r="CA14" s="143"/>
      <c r="CB14" s="143"/>
      <c r="CC14" s="143"/>
      <c r="CD14" s="143"/>
      <c r="CE14" s="143"/>
      <c r="CF14" s="143"/>
      <c r="CG14" s="143"/>
      <c r="CH14" s="143"/>
      <c r="CI14" s="143"/>
      <c r="CJ14" s="143"/>
      <c r="CK14" s="143"/>
      <c r="CL14" s="143"/>
      <c r="CM14" s="143"/>
      <c r="CN14" s="143"/>
      <c r="CO14" s="143"/>
      <c r="CP14" s="143"/>
      <c r="CQ14" s="143"/>
      <c r="CR14" s="143"/>
      <c r="CS14" s="143"/>
      <c r="CT14" s="143"/>
      <c r="CU14" s="143"/>
      <c r="CV14" s="143"/>
      <c r="CW14" s="143"/>
      <c r="CX14" s="143"/>
      <c r="CY14" s="143"/>
      <c r="CZ14" s="143"/>
      <c r="DA14" s="143"/>
      <c r="DB14" s="143"/>
      <c r="DC14" s="143"/>
      <c r="DD14" s="143"/>
      <c r="DE14" s="143"/>
      <c r="DF14" s="143"/>
      <c r="DG14" s="143"/>
      <c r="DH14" s="143"/>
      <c r="DI14" s="143"/>
      <c r="DJ14" s="143"/>
      <c r="DK14" s="143"/>
      <c r="DL14" s="143"/>
      <c r="DM14" s="143"/>
      <c r="DN14" s="143"/>
      <c r="DO14" s="143"/>
      <c r="DP14" s="143"/>
      <c r="DQ14" s="143"/>
      <c r="DR14" s="143"/>
      <c r="DS14" s="143"/>
      <c r="DT14" s="143"/>
      <c r="DU14" s="143"/>
      <c r="DV14" s="143"/>
      <c r="DW14" s="143"/>
      <c r="DX14" s="143"/>
      <c r="DY14" s="143"/>
      <c r="DZ14" s="143"/>
      <c r="EA14" s="143"/>
      <c r="EB14" s="143"/>
      <c r="EC14" s="143"/>
      <c r="ED14" s="143"/>
      <c r="EE14" s="143"/>
      <c r="EF14" s="143"/>
      <c r="EG14" s="143"/>
      <c r="EH14" s="143"/>
      <c r="EI14" s="143"/>
      <c r="EJ14" s="143"/>
      <c r="EK14" s="143"/>
      <c r="EL14" s="143"/>
      <c r="EM14" s="143"/>
      <c r="EN14" s="143"/>
      <c r="EO14" s="143"/>
      <c r="EP14" s="143"/>
      <c r="EQ14" s="143"/>
      <c r="ER14" s="143"/>
      <c r="ES14" s="143"/>
      <c r="ET14" s="143"/>
      <c r="EU14" s="143"/>
      <c r="EV14" s="143"/>
      <c r="EW14" s="143"/>
      <c r="EX14" s="143"/>
      <c r="EY14" s="143"/>
      <c r="EZ14" s="143"/>
      <c r="FA14" s="143"/>
      <c r="FB14" s="143"/>
      <c r="FC14" s="143"/>
      <c r="FD14" s="143"/>
      <c r="FE14" s="143"/>
      <c r="FF14" s="143"/>
      <c r="FG14" s="143"/>
      <c r="FH14" s="143"/>
      <c r="FI14" s="143"/>
      <c r="FJ14" s="143"/>
      <c r="FK14" s="143"/>
      <c r="FL14" s="143"/>
      <c r="FM14" s="143"/>
      <c r="FN14" s="143"/>
      <c r="FO14" s="143"/>
      <c r="FP14" s="143"/>
      <c r="FQ14" s="143"/>
      <c r="FR14" s="143"/>
      <c r="FS14" s="143"/>
      <c r="FT14" s="143"/>
      <c r="FU14" s="143"/>
      <c r="FV14" s="143"/>
      <c r="FW14" s="143"/>
      <c r="FX14" s="143"/>
      <c r="FY14" s="143"/>
      <c r="FZ14" s="143"/>
      <c r="GA14" s="143"/>
      <c r="GB14" s="143"/>
      <c r="GC14" s="143"/>
      <c r="GD14" s="143"/>
      <c r="GE14" s="143"/>
      <c r="GF14" s="143"/>
      <c r="GG14" s="143"/>
      <c r="GH14" s="143"/>
      <c r="GI14" s="143"/>
      <c r="GJ14" s="143"/>
      <c r="GK14" s="143"/>
      <c r="GL14" s="143"/>
      <c r="GM14" s="143"/>
      <c r="GN14" s="143"/>
      <c r="GO14" s="143"/>
      <c r="GP14" s="143"/>
      <c r="GQ14" s="143"/>
      <c r="GR14" s="143"/>
      <c r="GS14" s="143"/>
      <c r="GT14" s="143"/>
      <c r="GU14" s="143"/>
      <c r="GV14" s="143"/>
      <c r="GW14" s="143"/>
      <c r="GX14" s="143"/>
      <c r="GY14" s="143"/>
      <c r="GZ14" s="143"/>
      <c r="HA14" s="143"/>
      <c r="HB14" s="143"/>
      <c r="HC14" s="143"/>
      <c r="HD14" s="143"/>
      <c r="HE14" s="143"/>
      <c r="HF14" s="143"/>
      <c r="HG14" s="143"/>
      <c r="HH14" s="143"/>
      <c r="HI14" s="143"/>
      <c r="HJ14" s="143"/>
      <c r="HK14" s="143"/>
      <c r="HL14" s="143"/>
      <c r="HM14" s="143"/>
      <c r="HN14" s="143"/>
      <c r="HO14" s="143"/>
      <c r="HP14" s="143"/>
      <c r="HQ14" s="143"/>
      <c r="HR14" s="143"/>
      <c r="HS14" s="143"/>
      <c r="HT14" s="143"/>
      <c r="HU14" s="143"/>
      <c r="HV14" s="143"/>
      <c r="HW14" s="143"/>
      <c r="HX14" s="143"/>
      <c r="HY14" s="143"/>
      <c r="HZ14" s="143"/>
      <c r="IA14" s="143"/>
      <c r="IB14" s="143"/>
      <c r="IC14" s="143"/>
      <c r="ID14" s="143"/>
      <c r="IE14" s="143"/>
      <c r="IF14" s="143"/>
      <c r="IG14" s="143"/>
      <c r="IH14" s="143"/>
      <c r="II14" s="143"/>
      <c r="IJ14" s="143"/>
      <c r="IK14" s="143"/>
      <c r="IL14" s="143"/>
      <c r="IM14" s="143"/>
      <c r="IN14" s="143"/>
      <c r="IO14" s="143"/>
      <c r="IP14" s="143"/>
      <c r="IQ14" s="143"/>
      <c r="IR14" s="143"/>
      <c r="IS14" s="143"/>
      <c r="IT14" s="143"/>
      <c r="IU14" s="143"/>
    </row>
    <row r="15" customFormat="false" ht="28.35" hidden="false" customHeight="false" outlineLevel="0" collapsed="false">
      <c r="A15" s="171" t="s">
        <v>204</v>
      </c>
      <c r="B15" s="172" t="s">
        <v>267</v>
      </c>
      <c r="C15" s="172" t="s">
        <v>428</v>
      </c>
      <c r="D15" s="172" t="s">
        <v>269</v>
      </c>
      <c r="E15" s="172" t="s">
        <v>429</v>
      </c>
      <c r="F15" s="172" t="s">
        <v>271</v>
      </c>
      <c r="G15" s="172" t="s">
        <v>272</v>
      </c>
    </row>
    <row r="16" customFormat="false" ht="10.5" hidden="false" customHeight="false" outlineLevel="0" collapsed="false">
      <c r="A16" s="165" t="s">
        <v>215</v>
      </c>
      <c r="B16" s="166" t="s">
        <v>216</v>
      </c>
      <c r="C16" s="166" t="s">
        <v>216</v>
      </c>
      <c r="D16" s="166" t="s">
        <v>216</v>
      </c>
      <c r="E16" s="166" t="s">
        <v>216</v>
      </c>
      <c r="F16" s="166" t="s">
        <v>216</v>
      </c>
      <c r="G16" s="166" t="s">
        <v>216</v>
      </c>
    </row>
    <row r="17" customFormat="false" ht="10.5" hidden="false" customHeight="false" outlineLevel="0" collapsed="false">
      <c r="A17" s="152" t="s">
        <v>273</v>
      </c>
      <c r="B17" s="138"/>
      <c r="C17" s="138"/>
      <c r="D17" s="138"/>
      <c r="E17" s="138"/>
      <c r="F17" s="138"/>
      <c r="G17" s="138"/>
    </row>
    <row r="18" customFormat="false" ht="10.5" hidden="false" customHeight="false" outlineLevel="0" collapsed="false">
      <c r="A18" s="152" t="s">
        <v>39</v>
      </c>
      <c r="B18" s="155" t="n">
        <v>14.2</v>
      </c>
      <c r="C18" s="155" t="n">
        <v>43.1</v>
      </c>
      <c r="D18" s="155" t="n">
        <v>7.4</v>
      </c>
      <c r="E18" s="155" t="n">
        <v>-0.9</v>
      </c>
      <c r="F18" s="155" t="n">
        <v>0.8</v>
      </c>
      <c r="G18" s="155" t="n">
        <v>10.5</v>
      </c>
    </row>
    <row r="19" customFormat="false" ht="10.5" hidden="false" customHeight="false" outlineLevel="0" collapsed="false">
      <c r="A19" s="138" t="s">
        <v>280</v>
      </c>
      <c r="B19" s="168" t="n">
        <v>13.7</v>
      </c>
      <c r="C19" s="168" t="n">
        <v>11.7</v>
      </c>
      <c r="D19" s="168" t="n">
        <v>12.8</v>
      </c>
      <c r="E19" s="168" t="n">
        <v>16.5</v>
      </c>
      <c r="F19" s="168" t="n">
        <v>18.7</v>
      </c>
      <c r="G19" s="168" t="n">
        <v>22.6</v>
      </c>
    </row>
    <row r="20" customFormat="false" ht="10.5" hidden="false" customHeight="false" outlineLevel="0" collapsed="false">
      <c r="A20" s="138" t="s">
        <v>430</v>
      </c>
      <c r="B20" s="168" t="n">
        <v>4.4</v>
      </c>
      <c r="C20" s="168" t="n">
        <v>4.2</v>
      </c>
      <c r="D20" s="168" t="n">
        <v>9.3</v>
      </c>
      <c r="E20" s="168" t="n">
        <v>15.9</v>
      </c>
      <c r="F20" s="168" t="n">
        <v>15.8</v>
      </c>
      <c r="G20" s="168" t="n">
        <v>15.6</v>
      </c>
    </row>
    <row r="21" customFormat="false" ht="10.5" hidden="false" customHeight="false" outlineLevel="0" collapsed="false">
      <c r="A21" s="152" t="s">
        <v>431</v>
      </c>
      <c r="B21" s="169" t="n">
        <v>18.1</v>
      </c>
      <c r="C21" s="169" t="n">
        <v>15.9</v>
      </c>
      <c r="D21" s="169" t="n">
        <v>22.1</v>
      </c>
      <c r="E21" s="169" t="n">
        <v>32.4</v>
      </c>
      <c r="F21" s="169" t="n">
        <v>34.5</v>
      </c>
      <c r="G21" s="169" t="n">
        <v>38.2</v>
      </c>
    </row>
    <row r="22" customFormat="false" ht="10.5" hidden="false" customHeight="false" outlineLevel="0" collapsed="false">
      <c r="A22" s="138"/>
      <c r="B22" s="138"/>
      <c r="C22" s="138"/>
      <c r="D22" s="138"/>
      <c r="E22" s="138"/>
      <c r="F22" s="138"/>
      <c r="G22" s="138"/>
    </row>
    <row r="23" customFormat="false" ht="10.5" hidden="false" customHeight="false" outlineLevel="0" collapsed="false">
      <c r="A23" s="138" t="s">
        <v>432</v>
      </c>
      <c r="B23" s="168" t="s">
        <v>230</v>
      </c>
      <c r="C23" s="168" t="s">
        <v>230</v>
      </c>
      <c r="D23" s="168" t="n">
        <v>7.1</v>
      </c>
      <c r="E23" s="168" t="n">
        <v>3.8</v>
      </c>
      <c r="F23" s="168" t="n">
        <v>4.8</v>
      </c>
      <c r="G23" s="168" t="n">
        <v>4.3</v>
      </c>
    </row>
    <row r="24" customFormat="false" ht="10.5" hidden="false" customHeight="false" outlineLevel="0" collapsed="false">
      <c r="A24" s="138" t="s">
        <v>433</v>
      </c>
      <c r="B24" s="168" t="n">
        <v>2.8</v>
      </c>
      <c r="C24" s="168" t="n">
        <v>1.7</v>
      </c>
      <c r="D24" s="168" t="n">
        <v>20.6</v>
      </c>
      <c r="E24" s="168" t="n">
        <v>8.8</v>
      </c>
      <c r="F24" s="168" t="n">
        <v>14.1</v>
      </c>
      <c r="G24" s="168" t="n">
        <v>7.2</v>
      </c>
    </row>
    <row r="25" customFormat="false" ht="10.5" hidden="false" customHeight="false" outlineLevel="0" collapsed="false">
      <c r="A25" s="138" t="s">
        <v>434</v>
      </c>
      <c r="B25" s="168" t="n">
        <v>9.5</v>
      </c>
      <c r="C25" s="168" t="n">
        <v>-8.8</v>
      </c>
      <c r="D25" s="168" t="n">
        <v>-5.9</v>
      </c>
      <c r="E25" s="168" t="n">
        <v>-20</v>
      </c>
      <c r="F25" s="168" t="n">
        <v>-8.7</v>
      </c>
      <c r="G25" s="168" t="n">
        <v>-7.1</v>
      </c>
    </row>
    <row r="26" customFormat="false" ht="10.5" hidden="false" customHeight="false" outlineLevel="0" collapsed="false">
      <c r="A26" s="138" t="s">
        <v>435</v>
      </c>
      <c r="B26" s="168" t="n">
        <v>3.2</v>
      </c>
      <c r="C26" s="168" t="n">
        <v>-6</v>
      </c>
      <c r="D26" s="168" t="n">
        <v>-3.4</v>
      </c>
      <c r="E26" s="168" t="n">
        <v>-3.4</v>
      </c>
      <c r="F26" s="168" t="n">
        <v>-8</v>
      </c>
      <c r="G26" s="168" t="n">
        <v>-7.5</v>
      </c>
    </row>
    <row r="27" customFormat="false" ht="10.5" hidden="false" customHeight="false" outlineLevel="0" collapsed="false">
      <c r="A27" s="138" t="s">
        <v>436</v>
      </c>
      <c r="B27" s="168" t="n">
        <v>-1.2</v>
      </c>
      <c r="C27" s="168" t="n">
        <v>14.6</v>
      </c>
      <c r="D27" s="168" t="n">
        <v>10</v>
      </c>
      <c r="E27" s="168" t="n">
        <v>14</v>
      </c>
      <c r="F27" s="168" t="n">
        <v>5.1</v>
      </c>
      <c r="G27" s="168" t="n">
        <v>12.2</v>
      </c>
    </row>
    <row r="28" customFormat="false" ht="10.5" hidden="false" customHeight="false" outlineLevel="0" collapsed="false">
      <c r="A28" s="138" t="s">
        <v>437</v>
      </c>
      <c r="B28" s="168" t="n">
        <v>-2.1</v>
      </c>
      <c r="C28" s="168" t="n">
        <v>-4.1</v>
      </c>
      <c r="D28" s="168" t="n">
        <v>-2.7</v>
      </c>
      <c r="E28" s="168" t="n">
        <v>0.4</v>
      </c>
      <c r="F28" s="168" t="n">
        <v>4.7</v>
      </c>
      <c r="G28" s="168" t="n">
        <v>6.5</v>
      </c>
    </row>
    <row r="29" customFormat="false" ht="10.5" hidden="false" customHeight="false" outlineLevel="0" collapsed="false">
      <c r="A29" s="138" t="s">
        <v>438</v>
      </c>
      <c r="B29" s="168" t="n">
        <v>3.2</v>
      </c>
      <c r="C29" s="168" t="n">
        <v>5.2</v>
      </c>
      <c r="D29" s="168" t="n">
        <v>0.1</v>
      </c>
      <c r="E29" s="168" t="n">
        <v>-2.7</v>
      </c>
      <c r="F29" s="168" t="n">
        <v>6</v>
      </c>
      <c r="G29" s="168" t="n">
        <v>-6.2</v>
      </c>
    </row>
    <row r="30" customFormat="false" ht="10.5" hidden="false" customHeight="false" outlineLevel="0" collapsed="false">
      <c r="A30" s="152" t="s">
        <v>439</v>
      </c>
      <c r="B30" s="169" t="n">
        <v>47.7</v>
      </c>
      <c r="C30" s="169" t="n">
        <v>61.6</v>
      </c>
      <c r="D30" s="169" t="n">
        <v>55.3</v>
      </c>
      <c r="E30" s="169" t="n">
        <v>32.4</v>
      </c>
      <c r="F30" s="169" t="n">
        <v>53.3</v>
      </c>
      <c r="G30" s="169" t="n">
        <v>58.1</v>
      </c>
    </row>
    <row r="31" customFormat="false" ht="10.5" hidden="false" customHeight="false" outlineLevel="0" collapsed="false">
      <c r="A31" s="138"/>
      <c r="B31" s="138"/>
      <c r="C31" s="138"/>
      <c r="D31" s="138"/>
      <c r="E31" s="138"/>
      <c r="F31" s="138"/>
      <c r="G31" s="138"/>
    </row>
    <row r="32" customFormat="false" ht="10.5" hidden="false" customHeight="false" outlineLevel="0" collapsed="false">
      <c r="A32" s="138" t="s">
        <v>440</v>
      </c>
      <c r="B32" s="168" t="n">
        <v>-6.9</v>
      </c>
      <c r="C32" s="168" t="n">
        <v>-9.5</v>
      </c>
      <c r="D32" s="168" t="n">
        <v>-14.3</v>
      </c>
      <c r="E32" s="168" t="n">
        <v>-22</v>
      </c>
      <c r="F32" s="168" t="n">
        <v>-39.7</v>
      </c>
      <c r="G32" s="168" t="n">
        <v>-35.8</v>
      </c>
    </row>
    <row r="33" customFormat="false" ht="10.5" hidden="false" customHeight="false" outlineLevel="0" collapsed="false">
      <c r="A33" s="138" t="s">
        <v>441</v>
      </c>
      <c r="B33" s="168" t="s">
        <v>230</v>
      </c>
      <c r="C33" s="168" t="s">
        <v>230</v>
      </c>
      <c r="D33" s="168" t="n">
        <v>-586.4</v>
      </c>
      <c r="E33" s="168" t="s">
        <v>230</v>
      </c>
      <c r="F33" s="168" t="s">
        <v>230</v>
      </c>
      <c r="G33" s="168" t="n">
        <v>-45.1</v>
      </c>
    </row>
    <row r="34" customFormat="false" ht="10.5" hidden="false" customHeight="false" outlineLevel="0" collapsed="false">
      <c r="A34" s="138" t="s">
        <v>442</v>
      </c>
      <c r="B34" s="168" t="s">
        <v>230</v>
      </c>
      <c r="C34" s="168" t="s">
        <v>230</v>
      </c>
      <c r="D34" s="168" t="s">
        <v>230</v>
      </c>
      <c r="E34" s="168" t="s">
        <v>230</v>
      </c>
      <c r="F34" s="168" t="s">
        <v>230</v>
      </c>
      <c r="G34" s="168" t="s">
        <v>230</v>
      </c>
    </row>
    <row r="35" customFormat="false" ht="10.5" hidden="false" customHeight="false" outlineLevel="0" collapsed="false">
      <c r="A35" s="138" t="s">
        <v>443</v>
      </c>
      <c r="B35" s="168" t="s">
        <v>230</v>
      </c>
      <c r="C35" s="168" t="s">
        <v>230</v>
      </c>
      <c r="D35" s="168" t="s">
        <v>230</v>
      </c>
      <c r="E35" s="168" t="s">
        <v>230</v>
      </c>
      <c r="F35" s="168" t="s">
        <v>230</v>
      </c>
      <c r="G35" s="168" t="s">
        <v>230</v>
      </c>
    </row>
    <row r="36" customFormat="false" ht="10.5" hidden="false" customHeight="false" outlineLevel="0" collapsed="false">
      <c r="A36" s="138" t="s">
        <v>444</v>
      </c>
      <c r="B36" s="168" t="s">
        <v>230</v>
      </c>
      <c r="C36" s="168" t="s">
        <v>230</v>
      </c>
      <c r="D36" s="168" t="s">
        <v>230</v>
      </c>
      <c r="E36" s="168" t="s">
        <v>230</v>
      </c>
      <c r="F36" s="168" t="s">
        <v>230</v>
      </c>
      <c r="G36" s="168" t="s">
        <v>230</v>
      </c>
    </row>
    <row r="37" customFormat="false" ht="10.5" hidden="false" customHeight="false" outlineLevel="0" collapsed="false">
      <c r="A37" s="138" t="s">
        <v>445</v>
      </c>
      <c r="B37" s="168" t="n">
        <v>-27.2</v>
      </c>
      <c r="C37" s="168" t="n">
        <v>-14.6</v>
      </c>
      <c r="D37" s="168" t="n">
        <v>27</v>
      </c>
      <c r="E37" s="168" t="n">
        <v>1.6</v>
      </c>
      <c r="F37" s="168" t="n">
        <v>0.1</v>
      </c>
      <c r="G37" s="168" t="n">
        <v>-0.4</v>
      </c>
    </row>
    <row r="38" customFormat="false" ht="10.5" hidden="false" customHeight="false" outlineLevel="0" collapsed="false">
      <c r="A38" s="152" t="s">
        <v>446</v>
      </c>
      <c r="B38" s="169" t="n">
        <v>-34.1</v>
      </c>
      <c r="C38" s="169" t="n">
        <v>-24.1</v>
      </c>
      <c r="D38" s="169" t="n">
        <v>-573.7</v>
      </c>
      <c r="E38" s="169" t="n">
        <v>-20.4</v>
      </c>
      <c r="F38" s="169" t="n">
        <v>-39.6</v>
      </c>
      <c r="G38" s="169" t="n">
        <v>-81.3</v>
      </c>
    </row>
    <row r="39" customFormat="false" ht="10.5" hidden="false" customHeight="false" outlineLevel="0" collapsed="false">
      <c r="A39" s="138"/>
      <c r="B39" s="138"/>
      <c r="C39" s="138"/>
      <c r="D39" s="138"/>
      <c r="E39" s="138"/>
      <c r="F39" s="138"/>
      <c r="G39" s="138"/>
    </row>
    <row r="40" customFormat="false" ht="10.5" hidden="false" customHeight="false" outlineLevel="0" collapsed="false">
      <c r="A40" s="138" t="s">
        <v>447</v>
      </c>
      <c r="B40" s="168" t="s">
        <v>230</v>
      </c>
      <c r="C40" s="168" t="s">
        <v>230</v>
      </c>
      <c r="D40" s="168" t="n">
        <v>6.5</v>
      </c>
      <c r="E40" s="168" t="n">
        <v>24.5</v>
      </c>
      <c r="F40" s="168" t="n">
        <v>13.9</v>
      </c>
      <c r="G40" s="168" t="s">
        <v>230</v>
      </c>
    </row>
    <row r="41" customFormat="false" ht="10.5" hidden="false" customHeight="false" outlineLevel="0" collapsed="false">
      <c r="A41" s="138" t="s">
        <v>448</v>
      </c>
      <c r="B41" s="168" t="s">
        <v>230</v>
      </c>
      <c r="C41" s="168" t="s">
        <v>230</v>
      </c>
      <c r="D41" s="168" t="n">
        <v>400</v>
      </c>
      <c r="E41" s="168" t="s">
        <v>230</v>
      </c>
      <c r="F41" s="168" t="n">
        <v>5.8</v>
      </c>
      <c r="G41" s="168" t="s">
        <v>230</v>
      </c>
    </row>
    <row r="42" customFormat="false" ht="10.5" hidden="false" customHeight="false" outlineLevel="0" collapsed="false">
      <c r="A42" s="152" t="s">
        <v>449</v>
      </c>
      <c r="B42" s="169" t="s">
        <v>230</v>
      </c>
      <c r="C42" s="169" t="s">
        <v>230</v>
      </c>
      <c r="D42" s="169" t="n">
        <v>406.5</v>
      </c>
      <c r="E42" s="169" t="n">
        <v>24.5</v>
      </c>
      <c r="F42" s="169" t="n">
        <v>19.7</v>
      </c>
      <c r="G42" s="169" t="n">
        <v>52.3</v>
      </c>
    </row>
    <row r="43" customFormat="false" ht="10.5" hidden="false" customHeight="false" outlineLevel="0" collapsed="false">
      <c r="A43" s="138" t="s">
        <v>450</v>
      </c>
      <c r="B43" s="168" t="s">
        <v>230</v>
      </c>
      <c r="C43" s="168" t="s">
        <v>230</v>
      </c>
      <c r="D43" s="168" t="n">
        <v>-34.1</v>
      </c>
      <c r="E43" s="168" t="n">
        <v>-24.5</v>
      </c>
      <c r="F43" s="168" t="n">
        <v>-13.9</v>
      </c>
      <c r="G43" s="168" t="s">
        <v>230</v>
      </c>
    </row>
    <row r="44" customFormat="false" ht="10.5" hidden="false" customHeight="false" outlineLevel="0" collapsed="false">
      <c r="A44" s="138" t="s">
        <v>451</v>
      </c>
      <c r="B44" s="168" t="n">
        <v>-1.3</v>
      </c>
      <c r="C44" s="168" t="n">
        <v>-0.9</v>
      </c>
      <c r="D44" s="168" t="n">
        <v>-2.9</v>
      </c>
      <c r="E44" s="168" t="n">
        <v>-5</v>
      </c>
      <c r="F44" s="168" t="n">
        <v>-8.1</v>
      </c>
      <c r="G44" s="168" t="s">
        <v>230</v>
      </c>
    </row>
    <row r="45" customFormat="false" ht="10.5" hidden="false" customHeight="false" outlineLevel="0" collapsed="false">
      <c r="A45" s="152" t="s">
        <v>452</v>
      </c>
      <c r="B45" s="169" t="n">
        <v>-1.3</v>
      </c>
      <c r="C45" s="169" t="n">
        <v>-0.9</v>
      </c>
      <c r="D45" s="169" t="n">
        <v>-37</v>
      </c>
      <c r="E45" s="169" t="n">
        <v>-29.5</v>
      </c>
      <c r="F45" s="169" t="n">
        <v>-22</v>
      </c>
      <c r="G45" s="169" t="n">
        <v>-9.2</v>
      </c>
    </row>
    <row r="46" customFormat="false" ht="10.5" hidden="false" customHeight="false" outlineLevel="0" collapsed="false">
      <c r="A46" s="138"/>
      <c r="B46" s="138"/>
      <c r="C46" s="138"/>
      <c r="D46" s="138"/>
      <c r="E46" s="138"/>
      <c r="F46" s="138"/>
      <c r="G46" s="138"/>
    </row>
    <row r="47" customFormat="false" ht="10.5" hidden="false" customHeight="false" outlineLevel="0" collapsed="false">
      <c r="A47" s="138" t="s">
        <v>453</v>
      </c>
      <c r="B47" s="168" t="s">
        <v>230</v>
      </c>
      <c r="C47" s="168" t="s">
        <v>230</v>
      </c>
      <c r="D47" s="168" t="n">
        <v>174.3</v>
      </c>
      <c r="E47" s="168" t="s">
        <v>230</v>
      </c>
      <c r="F47" s="168" t="s">
        <v>230</v>
      </c>
      <c r="G47" s="168" t="s">
        <v>230</v>
      </c>
    </row>
    <row r="48" customFormat="false" ht="10.5" hidden="false" customHeight="false" outlineLevel="0" collapsed="false">
      <c r="A48" s="138" t="s">
        <v>454</v>
      </c>
      <c r="B48" s="168" t="s">
        <v>230</v>
      </c>
      <c r="C48" s="168" t="s">
        <v>230</v>
      </c>
      <c r="D48" s="168" t="n">
        <v>53</v>
      </c>
      <c r="E48" s="168" t="s">
        <v>230</v>
      </c>
      <c r="F48" s="168" t="s">
        <v>230</v>
      </c>
      <c r="G48" s="168" t="s">
        <v>230</v>
      </c>
    </row>
    <row r="49" customFormat="false" ht="10.5" hidden="false" customHeight="false" outlineLevel="0" collapsed="false">
      <c r="A49" s="138"/>
      <c r="B49" s="138"/>
      <c r="C49" s="138"/>
      <c r="D49" s="138"/>
      <c r="E49" s="138"/>
      <c r="F49" s="138"/>
      <c r="G49" s="138"/>
    </row>
    <row r="50" customFormat="false" ht="10.5" hidden="false" customHeight="false" outlineLevel="0" collapsed="false">
      <c r="A50" s="138" t="s">
        <v>455</v>
      </c>
      <c r="B50" s="168" t="s">
        <v>230</v>
      </c>
      <c r="C50" s="168" t="s">
        <v>230</v>
      </c>
      <c r="D50" s="168" t="s">
        <v>230</v>
      </c>
      <c r="E50" s="168" t="s">
        <v>230</v>
      </c>
      <c r="F50" s="168" t="n">
        <v>-1.8</v>
      </c>
      <c r="G50" s="168" t="n">
        <v>-7.1</v>
      </c>
    </row>
    <row r="51" customFormat="false" ht="10.5" hidden="false" customHeight="false" outlineLevel="0" collapsed="false">
      <c r="A51" s="138" t="s">
        <v>456</v>
      </c>
      <c r="B51" s="168" t="s">
        <v>230</v>
      </c>
      <c r="C51" s="168" t="n">
        <v>-11</v>
      </c>
      <c r="D51" s="168" t="n">
        <v>-12.9</v>
      </c>
      <c r="E51" s="168" t="s">
        <v>230</v>
      </c>
      <c r="F51" s="168" t="s">
        <v>230</v>
      </c>
      <c r="G51" s="168" t="s">
        <v>230</v>
      </c>
    </row>
    <row r="52" customFormat="false" ht="10.5" hidden="false" customHeight="false" outlineLevel="0" collapsed="false">
      <c r="A52" s="152" t="s">
        <v>457</v>
      </c>
      <c r="B52" s="169" t="s">
        <v>230</v>
      </c>
      <c r="C52" s="169" t="n">
        <v>-11</v>
      </c>
      <c r="D52" s="169" t="n">
        <v>-12.9</v>
      </c>
      <c r="E52" s="169" t="s">
        <v>230</v>
      </c>
      <c r="F52" s="169" t="n">
        <v>-1.8</v>
      </c>
      <c r="G52" s="169" t="n">
        <v>-7.1</v>
      </c>
    </row>
    <row r="53" customFormat="false" ht="10.5" hidden="false" customHeight="false" outlineLevel="0" collapsed="false">
      <c r="A53" s="138"/>
      <c r="B53" s="138"/>
      <c r="C53" s="138"/>
      <c r="D53" s="138"/>
      <c r="E53" s="138"/>
      <c r="F53" s="138"/>
      <c r="G53" s="138"/>
    </row>
    <row r="54" customFormat="false" ht="10.5" hidden="false" customHeight="false" outlineLevel="0" collapsed="false">
      <c r="A54" s="138" t="s">
        <v>458</v>
      </c>
      <c r="B54" s="168" t="s">
        <v>230</v>
      </c>
      <c r="C54" s="168" t="s">
        <v>230</v>
      </c>
      <c r="D54" s="168" t="s">
        <v>230</v>
      </c>
      <c r="E54" s="168" t="s">
        <v>230</v>
      </c>
      <c r="F54" s="168" t="s">
        <v>230</v>
      </c>
      <c r="G54" s="168" t="s">
        <v>230</v>
      </c>
    </row>
    <row r="55" customFormat="false" ht="10.5" hidden="false" customHeight="false" outlineLevel="0" collapsed="false">
      <c r="A55" s="138" t="s">
        <v>459</v>
      </c>
      <c r="B55" s="168" t="n">
        <v>-11.4</v>
      </c>
      <c r="C55" s="168" t="n">
        <v>-50.6</v>
      </c>
      <c r="D55" s="168" t="n">
        <v>-55.2</v>
      </c>
      <c r="E55" s="168" t="n">
        <v>-1.5</v>
      </c>
      <c r="F55" s="168" t="n">
        <v>-0.8</v>
      </c>
      <c r="G55" s="168" t="n">
        <v>-1</v>
      </c>
    </row>
    <row r="56" customFormat="false" ht="10.5" hidden="false" customHeight="false" outlineLevel="0" collapsed="false">
      <c r="A56" s="152" t="s">
        <v>460</v>
      </c>
      <c r="B56" s="169" t="n">
        <v>-12.7</v>
      </c>
      <c r="C56" s="169" t="n">
        <v>-62.5</v>
      </c>
      <c r="D56" s="169" t="n">
        <v>528.7</v>
      </c>
      <c r="E56" s="169" t="n">
        <v>-6.5</v>
      </c>
      <c r="F56" s="169" t="n">
        <v>-4.9</v>
      </c>
      <c r="G56" s="169" t="n">
        <v>35</v>
      </c>
    </row>
    <row r="57" customFormat="false" ht="10.5" hidden="false" customHeight="false" outlineLevel="0" collapsed="false">
      <c r="A57" s="138"/>
      <c r="B57" s="138"/>
      <c r="C57" s="138"/>
      <c r="D57" s="138"/>
      <c r="E57" s="138"/>
      <c r="F57" s="138"/>
      <c r="G57" s="138"/>
    </row>
    <row r="58" customFormat="false" ht="10.5" hidden="false" customHeight="false" outlineLevel="0" collapsed="false">
      <c r="A58" s="138" t="s">
        <v>461</v>
      </c>
      <c r="B58" s="168" t="n">
        <v>-0.4</v>
      </c>
      <c r="C58" s="168" t="n">
        <v>-4.5</v>
      </c>
      <c r="D58" s="168" t="n">
        <v>-0.3</v>
      </c>
      <c r="E58" s="168" t="n">
        <v>1.4</v>
      </c>
      <c r="F58" s="168" t="s">
        <v>230</v>
      </c>
      <c r="G58" s="168" t="n">
        <v>-1.3</v>
      </c>
    </row>
    <row r="59" customFormat="false" ht="10.5" hidden="false" customHeight="false" outlineLevel="0" collapsed="false">
      <c r="A59" s="152" t="s">
        <v>462</v>
      </c>
      <c r="B59" s="185" t="n">
        <v>0.5</v>
      </c>
      <c r="C59" s="185" t="n">
        <v>-29.5</v>
      </c>
      <c r="D59" s="185" t="n">
        <v>10</v>
      </c>
      <c r="E59" s="185" t="n">
        <v>6.9</v>
      </c>
      <c r="F59" s="185" t="n">
        <v>8.8</v>
      </c>
      <c r="G59" s="185" t="n">
        <v>10.5</v>
      </c>
    </row>
    <row r="60" customFormat="false" ht="10.5" hidden="false" customHeight="false" outlineLevel="0" collapsed="false">
      <c r="A60" s="138"/>
      <c r="B60" s="138"/>
      <c r="C60" s="138"/>
      <c r="D60" s="138"/>
      <c r="E60" s="138"/>
      <c r="F60" s="138"/>
      <c r="G60" s="138"/>
    </row>
    <row r="61" customFormat="false" ht="10.5" hidden="false" customHeight="false" outlineLevel="0" collapsed="false">
      <c r="A61" s="152" t="s">
        <v>316</v>
      </c>
      <c r="B61" s="138"/>
      <c r="C61" s="138"/>
      <c r="D61" s="138"/>
      <c r="E61" s="138"/>
      <c r="F61" s="138"/>
      <c r="G61" s="138"/>
    </row>
    <row r="62" customFormat="false" ht="10.5" hidden="false" customHeight="false" outlineLevel="0" collapsed="false">
      <c r="A62" s="138" t="s">
        <v>463</v>
      </c>
      <c r="B62" s="168" t="s">
        <v>219</v>
      </c>
      <c r="C62" s="168" t="s">
        <v>219</v>
      </c>
      <c r="D62" s="168" t="s">
        <v>219</v>
      </c>
      <c r="E62" s="168" t="n">
        <v>35.6</v>
      </c>
      <c r="F62" s="168" t="n">
        <v>35.3</v>
      </c>
      <c r="G62" s="168" t="n">
        <v>35.3</v>
      </c>
    </row>
    <row r="63" customFormat="false" ht="10.5" hidden="false" customHeight="false" outlineLevel="0" collapsed="false">
      <c r="A63" s="138" t="s">
        <v>464</v>
      </c>
      <c r="B63" s="168" t="s">
        <v>219</v>
      </c>
      <c r="C63" s="168" t="s">
        <v>219</v>
      </c>
      <c r="D63" s="168" t="s">
        <v>219</v>
      </c>
      <c r="E63" s="168" t="n">
        <v>14</v>
      </c>
      <c r="F63" s="168" t="n">
        <v>13.1</v>
      </c>
      <c r="G63" s="168" t="n">
        <v>13.1</v>
      </c>
    </row>
    <row r="64" customFormat="false" ht="10.5" hidden="false" customHeight="false" outlineLevel="0" collapsed="false">
      <c r="A64" s="138" t="s">
        <v>465</v>
      </c>
      <c r="B64" s="168" t="s">
        <v>219</v>
      </c>
      <c r="C64" s="168" t="n">
        <v>33.8375</v>
      </c>
      <c r="D64" s="168" t="n">
        <v>50.8375</v>
      </c>
      <c r="E64" s="168" t="n">
        <v>10.525</v>
      </c>
      <c r="F64" s="168" t="n">
        <v>10.2375</v>
      </c>
      <c r="G64" s="168" t="n">
        <v>2.5</v>
      </c>
    </row>
    <row r="65" customFormat="false" ht="10.5" hidden="false" customHeight="false" outlineLevel="0" collapsed="false">
      <c r="A65" s="138" t="s">
        <v>466</v>
      </c>
      <c r="B65" s="168" t="s">
        <v>219</v>
      </c>
      <c r="C65" s="168" t="n">
        <v>36.9</v>
      </c>
      <c r="D65" s="168" t="n">
        <v>61.05</v>
      </c>
      <c r="E65" s="168" t="n">
        <v>37.3625</v>
      </c>
      <c r="F65" s="168" t="n">
        <v>35.575</v>
      </c>
      <c r="G65" s="168" t="n">
        <v>27.35</v>
      </c>
    </row>
    <row r="66" customFormat="false" ht="10.5" hidden="false" customHeight="false" outlineLevel="0" collapsed="false">
      <c r="A66" s="138" t="s">
        <v>467</v>
      </c>
      <c r="B66" s="168" t="s">
        <v>219</v>
      </c>
      <c r="C66" s="168" t="n">
        <v>8.5</v>
      </c>
      <c r="D66" s="168" t="n">
        <v>-13</v>
      </c>
      <c r="E66" s="168" t="n">
        <v>10.3</v>
      </c>
      <c r="F66" s="168" t="n">
        <v>2.8</v>
      </c>
      <c r="G66" s="168" t="n">
        <v>22.2</v>
      </c>
    </row>
    <row r="67" customFormat="false" ht="10.5" hidden="false" customHeight="false" outlineLevel="0" collapsed="false">
      <c r="A67" s="138" t="s">
        <v>468</v>
      </c>
      <c r="B67" s="168" t="n">
        <v>-1.3</v>
      </c>
      <c r="C67" s="168" t="n">
        <v>-0.9</v>
      </c>
      <c r="D67" s="168" t="n">
        <v>369.5</v>
      </c>
      <c r="E67" s="168" t="n">
        <v>-5</v>
      </c>
      <c r="F67" s="168" t="n">
        <v>-2.3</v>
      </c>
      <c r="G67" s="168" t="n">
        <v>43.1</v>
      </c>
    </row>
    <row r="68" customFormat="false" ht="10.5" hidden="false" customHeight="false" outlineLevel="0" collapsed="false">
      <c r="A68" s="138" t="s">
        <v>329</v>
      </c>
      <c r="B68" s="188" t="n">
        <v>41088</v>
      </c>
      <c r="C68" s="188" t="n">
        <v>41348</v>
      </c>
      <c r="D68" s="188" t="n">
        <v>41712</v>
      </c>
      <c r="E68" s="188" t="n">
        <v>41712</v>
      </c>
      <c r="F68" s="188" t="n">
        <v>41712</v>
      </c>
      <c r="G68" s="188" t="n">
        <v>41957</v>
      </c>
    </row>
    <row r="69" customFormat="false" ht="10.5" hidden="false" customHeight="false" outlineLevel="0" collapsed="false">
      <c r="A69" s="138" t="s">
        <v>330</v>
      </c>
      <c r="B69" s="173" t="s">
        <v>331</v>
      </c>
      <c r="C69" s="173" t="s">
        <v>423</v>
      </c>
      <c r="D69" s="173" t="s">
        <v>333</v>
      </c>
      <c r="E69" s="173" t="s">
        <v>423</v>
      </c>
      <c r="F69" s="173" t="s">
        <v>334</v>
      </c>
      <c r="G69" s="173" t="s">
        <v>334</v>
      </c>
    </row>
    <row r="70" customFormat="false" ht="10.5" hidden="false" customHeight="false" outlineLevel="0" collapsed="false">
      <c r="A70" s="138" t="s">
        <v>335</v>
      </c>
      <c r="B70" s="173" t="s">
        <v>336</v>
      </c>
      <c r="C70" s="173" t="s">
        <v>336</v>
      </c>
      <c r="D70" s="173" t="s">
        <v>336</v>
      </c>
      <c r="E70" s="173" t="s">
        <v>336</v>
      </c>
      <c r="F70" s="173" t="s">
        <v>336</v>
      </c>
      <c r="G70" s="173" t="s">
        <v>337</v>
      </c>
    </row>
    <row r="71" customFormat="false" ht="10.5" hidden="false" customHeight="false" outlineLevel="0" collapsed="false">
      <c r="A71" s="138"/>
      <c r="B71" s="138"/>
      <c r="C71" s="138"/>
      <c r="D71" s="138"/>
      <c r="E71" s="138"/>
      <c r="F71" s="138"/>
      <c r="G71" s="138"/>
    </row>
    <row r="72" customFormat="false" ht="55.2" hidden="false" customHeight="false" outlineLevel="0" collapsed="false">
      <c r="A72" s="174" t="s">
        <v>254</v>
      </c>
      <c r="B72" s="164"/>
      <c r="C72" s="164"/>
      <c r="D72" s="164"/>
      <c r="E72" s="164"/>
      <c r="F72" s="164"/>
      <c r="G72" s="164"/>
    </row>
  </sheetData>
  <printOptions headings="false" gridLines="false" gridLinesSet="true" horizontalCentered="false" verticalCentered="false"/>
  <pageMargins left="0.2" right="0.2" top="0.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false"/>
  </sheetPr>
  <dimension ref="A5:IU106"/>
  <sheetViews>
    <sheetView showFormulas="false" showGridLines="true" showRowColHeaders="true" showZeros="true" rightToLeft="false" tabSelected="false" showOutlineSymbols="true" defaultGridColor="true" view="normal" topLeftCell="A49" colorId="64" zoomScale="100" zoomScaleNormal="100" zoomScalePageLayoutView="100" workbookViewId="0">
      <selection pane="topLeft" activeCell="F65" activeCellId="0" sqref="F65"/>
    </sheetView>
  </sheetViews>
  <sheetFormatPr defaultColWidth="8.83203125" defaultRowHeight="10.5" zeroHeight="false" outlineLevelRow="0" outlineLevelCol="0"/>
  <cols>
    <col collapsed="false" customWidth="true" hidden="false" outlineLevel="0" max="1" min="1" style="134" width="45.83"/>
    <col collapsed="false" customWidth="true" hidden="false" outlineLevel="0" max="7" min="2" style="134" width="14.83"/>
    <col collapsed="false" customWidth="false" hidden="false" outlineLevel="0" max="256" min="8" style="134" width="8.83"/>
    <col collapsed="false" customWidth="true" hidden="false" outlineLevel="0" max="257" min="257" style="134" width="45.83"/>
    <col collapsed="false" customWidth="true" hidden="false" outlineLevel="0" max="263" min="258" style="134" width="14.83"/>
    <col collapsed="false" customWidth="false" hidden="false" outlineLevel="0" max="512" min="264" style="134" width="8.83"/>
    <col collapsed="false" customWidth="true" hidden="false" outlineLevel="0" max="513" min="513" style="134" width="45.83"/>
    <col collapsed="false" customWidth="true" hidden="false" outlineLevel="0" max="519" min="514" style="134" width="14.83"/>
    <col collapsed="false" customWidth="false" hidden="false" outlineLevel="0" max="768" min="520" style="134" width="8.83"/>
    <col collapsed="false" customWidth="true" hidden="false" outlineLevel="0" max="769" min="769" style="134" width="45.83"/>
    <col collapsed="false" customWidth="true" hidden="false" outlineLevel="0" max="775" min="770" style="134" width="14.83"/>
    <col collapsed="false" customWidth="false" hidden="false" outlineLevel="0" max="1024" min="776" style="134" width="8.83"/>
    <col collapsed="false" customWidth="true" hidden="false" outlineLevel="0" max="1025" min="1025" style="134" width="45.83"/>
    <col collapsed="false" customWidth="true" hidden="false" outlineLevel="0" max="1031" min="1026" style="134" width="14.83"/>
    <col collapsed="false" customWidth="false" hidden="false" outlineLevel="0" max="1280" min="1032" style="134" width="8.83"/>
    <col collapsed="false" customWidth="true" hidden="false" outlineLevel="0" max="1281" min="1281" style="134" width="45.83"/>
    <col collapsed="false" customWidth="true" hidden="false" outlineLevel="0" max="1287" min="1282" style="134" width="14.83"/>
    <col collapsed="false" customWidth="false" hidden="false" outlineLevel="0" max="1536" min="1288" style="134" width="8.83"/>
    <col collapsed="false" customWidth="true" hidden="false" outlineLevel="0" max="1537" min="1537" style="134" width="45.83"/>
    <col collapsed="false" customWidth="true" hidden="false" outlineLevel="0" max="1543" min="1538" style="134" width="14.83"/>
    <col collapsed="false" customWidth="false" hidden="false" outlineLevel="0" max="1792" min="1544" style="134" width="8.83"/>
    <col collapsed="false" customWidth="true" hidden="false" outlineLevel="0" max="1793" min="1793" style="134" width="45.83"/>
    <col collapsed="false" customWidth="true" hidden="false" outlineLevel="0" max="1799" min="1794" style="134" width="14.83"/>
    <col collapsed="false" customWidth="false" hidden="false" outlineLevel="0" max="2048" min="1800" style="134" width="8.83"/>
    <col collapsed="false" customWidth="true" hidden="false" outlineLevel="0" max="2049" min="2049" style="134" width="45.83"/>
    <col collapsed="false" customWidth="true" hidden="false" outlineLevel="0" max="2055" min="2050" style="134" width="14.83"/>
    <col collapsed="false" customWidth="false" hidden="false" outlineLevel="0" max="2304" min="2056" style="134" width="8.83"/>
    <col collapsed="false" customWidth="true" hidden="false" outlineLevel="0" max="2305" min="2305" style="134" width="45.83"/>
    <col collapsed="false" customWidth="true" hidden="false" outlineLevel="0" max="2311" min="2306" style="134" width="14.83"/>
    <col collapsed="false" customWidth="false" hidden="false" outlineLevel="0" max="2560" min="2312" style="134" width="8.83"/>
    <col collapsed="false" customWidth="true" hidden="false" outlineLevel="0" max="2561" min="2561" style="134" width="45.83"/>
    <col collapsed="false" customWidth="true" hidden="false" outlineLevel="0" max="2567" min="2562" style="134" width="14.83"/>
    <col collapsed="false" customWidth="false" hidden="false" outlineLevel="0" max="2816" min="2568" style="134" width="8.83"/>
    <col collapsed="false" customWidth="true" hidden="false" outlineLevel="0" max="2817" min="2817" style="134" width="45.83"/>
    <col collapsed="false" customWidth="true" hidden="false" outlineLevel="0" max="2823" min="2818" style="134" width="14.83"/>
    <col collapsed="false" customWidth="false" hidden="false" outlineLevel="0" max="3072" min="2824" style="134" width="8.83"/>
    <col collapsed="false" customWidth="true" hidden="false" outlineLevel="0" max="3073" min="3073" style="134" width="45.83"/>
    <col collapsed="false" customWidth="true" hidden="false" outlineLevel="0" max="3079" min="3074" style="134" width="14.83"/>
    <col collapsed="false" customWidth="false" hidden="false" outlineLevel="0" max="3328" min="3080" style="134" width="8.83"/>
    <col collapsed="false" customWidth="true" hidden="false" outlineLevel="0" max="3329" min="3329" style="134" width="45.83"/>
    <col collapsed="false" customWidth="true" hidden="false" outlineLevel="0" max="3335" min="3330" style="134" width="14.83"/>
    <col collapsed="false" customWidth="false" hidden="false" outlineLevel="0" max="3584" min="3336" style="134" width="8.83"/>
    <col collapsed="false" customWidth="true" hidden="false" outlineLevel="0" max="3585" min="3585" style="134" width="45.83"/>
    <col collapsed="false" customWidth="true" hidden="false" outlineLevel="0" max="3591" min="3586" style="134" width="14.83"/>
    <col collapsed="false" customWidth="false" hidden="false" outlineLevel="0" max="3840" min="3592" style="134" width="8.83"/>
    <col collapsed="false" customWidth="true" hidden="false" outlineLevel="0" max="3841" min="3841" style="134" width="45.83"/>
    <col collapsed="false" customWidth="true" hidden="false" outlineLevel="0" max="3847" min="3842" style="134" width="14.83"/>
    <col collapsed="false" customWidth="false" hidden="false" outlineLevel="0" max="4096" min="3848" style="134" width="8.83"/>
    <col collapsed="false" customWidth="true" hidden="false" outlineLevel="0" max="4097" min="4097" style="134" width="45.83"/>
    <col collapsed="false" customWidth="true" hidden="false" outlineLevel="0" max="4103" min="4098" style="134" width="14.83"/>
    <col collapsed="false" customWidth="false" hidden="false" outlineLevel="0" max="4352" min="4104" style="134" width="8.83"/>
    <col collapsed="false" customWidth="true" hidden="false" outlineLevel="0" max="4353" min="4353" style="134" width="45.83"/>
    <col collapsed="false" customWidth="true" hidden="false" outlineLevel="0" max="4359" min="4354" style="134" width="14.83"/>
    <col collapsed="false" customWidth="false" hidden="false" outlineLevel="0" max="4608" min="4360" style="134" width="8.83"/>
    <col collapsed="false" customWidth="true" hidden="false" outlineLevel="0" max="4609" min="4609" style="134" width="45.83"/>
    <col collapsed="false" customWidth="true" hidden="false" outlineLevel="0" max="4615" min="4610" style="134" width="14.83"/>
    <col collapsed="false" customWidth="false" hidden="false" outlineLevel="0" max="4864" min="4616" style="134" width="8.83"/>
    <col collapsed="false" customWidth="true" hidden="false" outlineLevel="0" max="4865" min="4865" style="134" width="45.83"/>
    <col collapsed="false" customWidth="true" hidden="false" outlineLevel="0" max="4871" min="4866" style="134" width="14.83"/>
    <col collapsed="false" customWidth="false" hidden="false" outlineLevel="0" max="5120" min="4872" style="134" width="8.83"/>
    <col collapsed="false" customWidth="true" hidden="false" outlineLevel="0" max="5121" min="5121" style="134" width="45.83"/>
    <col collapsed="false" customWidth="true" hidden="false" outlineLevel="0" max="5127" min="5122" style="134" width="14.83"/>
    <col collapsed="false" customWidth="false" hidden="false" outlineLevel="0" max="5376" min="5128" style="134" width="8.83"/>
    <col collapsed="false" customWidth="true" hidden="false" outlineLevel="0" max="5377" min="5377" style="134" width="45.83"/>
    <col collapsed="false" customWidth="true" hidden="false" outlineLevel="0" max="5383" min="5378" style="134" width="14.83"/>
    <col collapsed="false" customWidth="false" hidden="false" outlineLevel="0" max="5632" min="5384" style="134" width="8.83"/>
    <col collapsed="false" customWidth="true" hidden="false" outlineLevel="0" max="5633" min="5633" style="134" width="45.83"/>
    <col collapsed="false" customWidth="true" hidden="false" outlineLevel="0" max="5639" min="5634" style="134" width="14.83"/>
    <col collapsed="false" customWidth="false" hidden="false" outlineLevel="0" max="5888" min="5640" style="134" width="8.83"/>
    <col collapsed="false" customWidth="true" hidden="false" outlineLevel="0" max="5889" min="5889" style="134" width="45.83"/>
    <col collapsed="false" customWidth="true" hidden="false" outlineLevel="0" max="5895" min="5890" style="134" width="14.83"/>
    <col collapsed="false" customWidth="false" hidden="false" outlineLevel="0" max="6144" min="5896" style="134" width="8.83"/>
    <col collapsed="false" customWidth="true" hidden="false" outlineLevel="0" max="6145" min="6145" style="134" width="45.83"/>
    <col collapsed="false" customWidth="true" hidden="false" outlineLevel="0" max="6151" min="6146" style="134" width="14.83"/>
    <col collapsed="false" customWidth="false" hidden="false" outlineLevel="0" max="6400" min="6152" style="134" width="8.83"/>
    <col collapsed="false" customWidth="true" hidden="false" outlineLevel="0" max="6401" min="6401" style="134" width="45.83"/>
    <col collapsed="false" customWidth="true" hidden="false" outlineLevel="0" max="6407" min="6402" style="134" width="14.83"/>
    <col collapsed="false" customWidth="false" hidden="false" outlineLevel="0" max="6656" min="6408" style="134" width="8.83"/>
    <col collapsed="false" customWidth="true" hidden="false" outlineLevel="0" max="6657" min="6657" style="134" width="45.83"/>
    <col collapsed="false" customWidth="true" hidden="false" outlineLevel="0" max="6663" min="6658" style="134" width="14.83"/>
    <col collapsed="false" customWidth="false" hidden="false" outlineLevel="0" max="6912" min="6664" style="134" width="8.83"/>
    <col collapsed="false" customWidth="true" hidden="false" outlineLevel="0" max="6913" min="6913" style="134" width="45.83"/>
    <col collapsed="false" customWidth="true" hidden="false" outlineLevel="0" max="6919" min="6914" style="134" width="14.83"/>
    <col collapsed="false" customWidth="false" hidden="false" outlineLevel="0" max="7168" min="6920" style="134" width="8.83"/>
    <col collapsed="false" customWidth="true" hidden="false" outlineLevel="0" max="7169" min="7169" style="134" width="45.83"/>
    <col collapsed="false" customWidth="true" hidden="false" outlineLevel="0" max="7175" min="7170" style="134" width="14.83"/>
    <col collapsed="false" customWidth="false" hidden="false" outlineLevel="0" max="7424" min="7176" style="134" width="8.83"/>
    <col collapsed="false" customWidth="true" hidden="false" outlineLevel="0" max="7425" min="7425" style="134" width="45.83"/>
    <col collapsed="false" customWidth="true" hidden="false" outlineLevel="0" max="7431" min="7426" style="134" width="14.83"/>
    <col collapsed="false" customWidth="false" hidden="false" outlineLevel="0" max="7680" min="7432" style="134" width="8.83"/>
    <col collapsed="false" customWidth="true" hidden="false" outlineLevel="0" max="7681" min="7681" style="134" width="45.83"/>
    <col collapsed="false" customWidth="true" hidden="false" outlineLevel="0" max="7687" min="7682" style="134" width="14.83"/>
    <col collapsed="false" customWidth="false" hidden="false" outlineLevel="0" max="7936" min="7688" style="134" width="8.83"/>
    <col collapsed="false" customWidth="true" hidden="false" outlineLevel="0" max="7937" min="7937" style="134" width="45.83"/>
    <col collapsed="false" customWidth="true" hidden="false" outlineLevel="0" max="7943" min="7938" style="134" width="14.83"/>
    <col collapsed="false" customWidth="false" hidden="false" outlineLevel="0" max="8192" min="7944" style="134" width="8.83"/>
    <col collapsed="false" customWidth="true" hidden="false" outlineLevel="0" max="8193" min="8193" style="134" width="45.83"/>
    <col collapsed="false" customWidth="true" hidden="false" outlineLevel="0" max="8199" min="8194" style="134" width="14.83"/>
    <col collapsed="false" customWidth="false" hidden="false" outlineLevel="0" max="8448" min="8200" style="134" width="8.83"/>
    <col collapsed="false" customWidth="true" hidden="false" outlineLevel="0" max="8449" min="8449" style="134" width="45.83"/>
    <col collapsed="false" customWidth="true" hidden="false" outlineLevel="0" max="8455" min="8450" style="134" width="14.83"/>
    <col collapsed="false" customWidth="false" hidden="false" outlineLevel="0" max="8704" min="8456" style="134" width="8.83"/>
    <col collapsed="false" customWidth="true" hidden="false" outlineLevel="0" max="8705" min="8705" style="134" width="45.83"/>
    <col collapsed="false" customWidth="true" hidden="false" outlineLevel="0" max="8711" min="8706" style="134" width="14.83"/>
    <col collapsed="false" customWidth="false" hidden="false" outlineLevel="0" max="8960" min="8712" style="134" width="8.83"/>
    <col collapsed="false" customWidth="true" hidden="false" outlineLevel="0" max="8961" min="8961" style="134" width="45.83"/>
    <col collapsed="false" customWidth="true" hidden="false" outlineLevel="0" max="8967" min="8962" style="134" width="14.83"/>
    <col collapsed="false" customWidth="false" hidden="false" outlineLevel="0" max="9216" min="8968" style="134" width="8.83"/>
    <col collapsed="false" customWidth="true" hidden="false" outlineLevel="0" max="9217" min="9217" style="134" width="45.83"/>
    <col collapsed="false" customWidth="true" hidden="false" outlineLevel="0" max="9223" min="9218" style="134" width="14.83"/>
    <col collapsed="false" customWidth="false" hidden="false" outlineLevel="0" max="9472" min="9224" style="134" width="8.83"/>
    <col collapsed="false" customWidth="true" hidden="false" outlineLevel="0" max="9473" min="9473" style="134" width="45.83"/>
    <col collapsed="false" customWidth="true" hidden="false" outlineLevel="0" max="9479" min="9474" style="134" width="14.83"/>
    <col collapsed="false" customWidth="false" hidden="false" outlineLevel="0" max="9728" min="9480" style="134" width="8.83"/>
    <col collapsed="false" customWidth="true" hidden="false" outlineLevel="0" max="9729" min="9729" style="134" width="45.83"/>
    <col collapsed="false" customWidth="true" hidden="false" outlineLevel="0" max="9735" min="9730" style="134" width="14.83"/>
    <col collapsed="false" customWidth="false" hidden="false" outlineLevel="0" max="9984" min="9736" style="134" width="8.83"/>
    <col collapsed="false" customWidth="true" hidden="false" outlineLevel="0" max="9985" min="9985" style="134" width="45.83"/>
    <col collapsed="false" customWidth="true" hidden="false" outlineLevel="0" max="9991" min="9986" style="134" width="14.83"/>
    <col collapsed="false" customWidth="false" hidden="false" outlineLevel="0" max="10240" min="9992" style="134" width="8.83"/>
    <col collapsed="false" customWidth="true" hidden="false" outlineLevel="0" max="10241" min="10241" style="134" width="45.83"/>
    <col collapsed="false" customWidth="true" hidden="false" outlineLevel="0" max="10247" min="10242" style="134" width="14.83"/>
    <col collapsed="false" customWidth="false" hidden="false" outlineLevel="0" max="10496" min="10248" style="134" width="8.83"/>
    <col collapsed="false" customWidth="true" hidden="false" outlineLevel="0" max="10497" min="10497" style="134" width="45.83"/>
    <col collapsed="false" customWidth="true" hidden="false" outlineLevel="0" max="10503" min="10498" style="134" width="14.83"/>
    <col collapsed="false" customWidth="false" hidden="false" outlineLevel="0" max="10752" min="10504" style="134" width="8.83"/>
    <col collapsed="false" customWidth="true" hidden="false" outlineLevel="0" max="10753" min="10753" style="134" width="45.83"/>
    <col collapsed="false" customWidth="true" hidden="false" outlineLevel="0" max="10759" min="10754" style="134" width="14.83"/>
    <col collapsed="false" customWidth="false" hidden="false" outlineLevel="0" max="11008" min="10760" style="134" width="8.83"/>
    <col collapsed="false" customWidth="true" hidden="false" outlineLevel="0" max="11009" min="11009" style="134" width="45.83"/>
    <col collapsed="false" customWidth="true" hidden="false" outlineLevel="0" max="11015" min="11010" style="134" width="14.83"/>
    <col collapsed="false" customWidth="false" hidden="false" outlineLevel="0" max="11264" min="11016" style="134" width="8.83"/>
    <col collapsed="false" customWidth="true" hidden="false" outlineLevel="0" max="11265" min="11265" style="134" width="45.83"/>
    <col collapsed="false" customWidth="true" hidden="false" outlineLevel="0" max="11271" min="11266" style="134" width="14.83"/>
    <col collapsed="false" customWidth="false" hidden="false" outlineLevel="0" max="11520" min="11272" style="134" width="8.83"/>
    <col collapsed="false" customWidth="true" hidden="false" outlineLevel="0" max="11521" min="11521" style="134" width="45.83"/>
    <col collapsed="false" customWidth="true" hidden="false" outlineLevel="0" max="11527" min="11522" style="134" width="14.83"/>
    <col collapsed="false" customWidth="false" hidden="false" outlineLevel="0" max="11776" min="11528" style="134" width="8.83"/>
    <col collapsed="false" customWidth="true" hidden="false" outlineLevel="0" max="11777" min="11777" style="134" width="45.83"/>
    <col collapsed="false" customWidth="true" hidden="false" outlineLevel="0" max="11783" min="11778" style="134" width="14.83"/>
    <col collapsed="false" customWidth="false" hidden="false" outlineLevel="0" max="12032" min="11784" style="134" width="8.83"/>
    <col collapsed="false" customWidth="true" hidden="false" outlineLevel="0" max="12033" min="12033" style="134" width="45.83"/>
    <col collapsed="false" customWidth="true" hidden="false" outlineLevel="0" max="12039" min="12034" style="134" width="14.83"/>
    <col collapsed="false" customWidth="false" hidden="false" outlineLevel="0" max="12288" min="12040" style="134" width="8.83"/>
    <col collapsed="false" customWidth="true" hidden="false" outlineLevel="0" max="12289" min="12289" style="134" width="45.83"/>
    <col collapsed="false" customWidth="true" hidden="false" outlineLevel="0" max="12295" min="12290" style="134" width="14.83"/>
    <col collapsed="false" customWidth="false" hidden="false" outlineLevel="0" max="12544" min="12296" style="134" width="8.83"/>
    <col collapsed="false" customWidth="true" hidden="false" outlineLevel="0" max="12545" min="12545" style="134" width="45.83"/>
    <col collapsed="false" customWidth="true" hidden="false" outlineLevel="0" max="12551" min="12546" style="134" width="14.83"/>
    <col collapsed="false" customWidth="false" hidden="false" outlineLevel="0" max="12800" min="12552" style="134" width="8.83"/>
    <col collapsed="false" customWidth="true" hidden="false" outlineLevel="0" max="12801" min="12801" style="134" width="45.83"/>
    <col collapsed="false" customWidth="true" hidden="false" outlineLevel="0" max="12807" min="12802" style="134" width="14.83"/>
    <col collapsed="false" customWidth="false" hidden="false" outlineLevel="0" max="13056" min="12808" style="134" width="8.83"/>
    <col collapsed="false" customWidth="true" hidden="false" outlineLevel="0" max="13057" min="13057" style="134" width="45.83"/>
    <col collapsed="false" customWidth="true" hidden="false" outlineLevel="0" max="13063" min="13058" style="134" width="14.83"/>
    <col collapsed="false" customWidth="false" hidden="false" outlineLevel="0" max="13312" min="13064" style="134" width="8.83"/>
    <col collapsed="false" customWidth="true" hidden="false" outlineLevel="0" max="13313" min="13313" style="134" width="45.83"/>
    <col collapsed="false" customWidth="true" hidden="false" outlineLevel="0" max="13319" min="13314" style="134" width="14.83"/>
    <col collapsed="false" customWidth="false" hidden="false" outlineLevel="0" max="13568" min="13320" style="134" width="8.83"/>
    <col collapsed="false" customWidth="true" hidden="false" outlineLevel="0" max="13569" min="13569" style="134" width="45.83"/>
    <col collapsed="false" customWidth="true" hidden="false" outlineLevel="0" max="13575" min="13570" style="134" width="14.83"/>
    <col collapsed="false" customWidth="false" hidden="false" outlineLevel="0" max="13824" min="13576" style="134" width="8.83"/>
    <col collapsed="false" customWidth="true" hidden="false" outlineLevel="0" max="13825" min="13825" style="134" width="45.83"/>
    <col collapsed="false" customWidth="true" hidden="false" outlineLevel="0" max="13831" min="13826" style="134" width="14.83"/>
    <col collapsed="false" customWidth="false" hidden="false" outlineLevel="0" max="14080" min="13832" style="134" width="8.83"/>
    <col collapsed="false" customWidth="true" hidden="false" outlineLevel="0" max="14081" min="14081" style="134" width="45.83"/>
    <col collapsed="false" customWidth="true" hidden="false" outlineLevel="0" max="14087" min="14082" style="134" width="14.83"/>
    <col collapsed="false" customWidth="false" hidden="false" outlineLevel="0" max="14336" min="14088" style="134" width="8.83"/>
    <col collapsed="false" customWidth="true" hidden="false" outlineLevel="0" max="14337" min="14337" style="134" width="45.83"/>
    <col collapsed="false" customWidth="true" hidden="false" outlineLevel="0" max="14343" min="14338" style="134" width="14.83"/>
    <col collapsed="false" customWidth="false" hidden="false" outlineLevel="0" max="14592" min="14344" style="134" width="8.83"/>
    <col collapsed="false" customWidth="true" hidden="false" outlineLevel="0" max="14593" min="14593" style="134" width="45.83"/>
    <col collapsed="false" customWidth="true" hidden="false" outlineLevel="0" max="14599" min="14594" style="134" width="14.83"/>
    <col collapsed="false" customWidth="false" hidden="false" outlineLevel="0" max="14848" min="14600" style="134" width="8.83"/>
    <col collapsed="false" customWidth="true" hidden="false" outlineLevel="0" max="14849" min="14849" style="134" width="45.83"/>
    <col collapsed="false" customWidth="true" hidden="false" outlineLevel="0" max="14855" min="14850" style="134" width="14.83"/>
    <col collapsed="false" customWidth="false" hidden="false" outlineLevel="0" max="15104" min="14856" style="134" width="8.83"/>
    <col collapsed="false" customWidth="true" hidden="false" outlineLevel="0" max="15105" min="15105" style="134" width="45.83"/>
    <col collapsed="false" customWidth="true" hidden="false" outlineLevel="0" max="15111" min="15106" style="134" width="14.83"/>
    <col collapsed="false" customWidth="false" hidden="false" outlineLevel="0" max="15360" min="15112" style="134" width="8.83"/>
    <col collapsed="false" customWidth="true" hidden="false" outlineLevel="0" max="15361" min="15361" style="134" width="45.83"/>
    <col collapsed="false" customWidth="true" hidden="false" outlineLevel="0" max="15367" min="15362" style="134" width="14.83"/>
    <col collapsed="false" customWidth="false" hidden="false" outlineLevel="0" max="15616" min="15368" style="134" width="8.83"/>
    <col collapsed="false" customWidth="true" hidden="false" outlineLevel="0" max="15617" min="15617" style="134" width="45.83"/>
    <col collapsed="false" customWidth="true" hidden="false" outlineLevel="0" max="15623" min="15618" style="134" width="14.83"/>
    <col collapsed="false" customWidth="false" hidden="false" outlineLevel="0" max="15872" min="15624" style="134" width="8.83"/>
    <col collapsed="false" customWidth="true" hidden="false" outlineLevel="0" max="15873" min="15873" style="134" width="45.83"/>
    <col collapsed="false" customWidth="true" hidden="false" outlineLevel="0" max="15879" min="15874" style="134" width="14.83"/>
    <col collapsed="false" customWidth="false" hidden="false" outlineLevel="0" max="16128" min="15880" style="134" width="8.83"/>
    <col collapsed="false" customWidth="true" hidden="false" outlineLevel="0" max="16129" min="16129" style="134" width="45.83"/>
    <col collapsed="false" customWidth="true" hidden="false" outlineLevel="0" max="16135" min="16130" style="134" width="14.83"/>
    <col collapsed="false" customWidth="false" hidden="false" outlineLevel="0" max="16384" min="16136" style="134" width="8.83"/>
  </cols>
  <sheetData>
    <row r="5" customFormat="false" ht="16.15" hidden="false" customHeight="false" outlineLevel="0" collapsed="false">
      <c r="A5" s="135" t="s">
        <v>469</v>
      </c>
    </row>
    <row r="7" customFormat="false" ht="10.5" hidden="false" customHeight="false" outlineLevel="0" collapsed="false">
      <c r="A7" s="136" t="s">
        <v>470</v>
      </c>
      <c r="B7" s="137" t="s">
        <v>259</v>
      </c>
      <c r="C7" s="134" t="s">
        <v>260</v>
      </c>
      <c r="D7" s="138" t="s">
        <v>192</v>
      </c>
      <c r="E7" s="137" t="s">
        <v>261</v>
      </c>
      <c r="F7" s="134" t="s">
        <v>262</v>
      </c>
    </row>
    <row r="8" customFormat="false" ht="10.5" hidden="false" customHeight="false" outlineLevel="0" collapsed="false">
      <c r="A8" s="138"/>
      <c r="B8" s="137" t="s">
        <v>190</v>
      </c>
      <c r="C8" s="134" t="s">
        <v>263</v>
      </c>
      <c r="D8" s="138" t="s">
        <v>192</v>
      </c>
      <c r="E8" s="137" t="s">
        <v>193</v>
      </c>
      <c r="F8" s="134" t="s">
        <v>194</v>
      </c>
    </row>
    <row r="9" customFormat="false" ht="10.5" hidden="false" customHeight="false" outlineLevel="0" collapsed="false">
      <c r="A9" s="138"/>
      <c r="B9" s="137" t="s">
        <v>197</v>
      </c>
      <c r="C9" s="134" t="s">
        <v>198</v>
      </c>
      <c r="D9" s="138" t="s">
        <v>192</v>
      </c>
      <c r="E9" s="137" t="s">
        <v>199</v>
      </c>
      <c r="F9" s="139" t="s">
        <v>200</v>
      </c>
    </row>
    <row r="10" customFormat="false" ht="10.5" hidden="false" customHeight="false" outlineLevel="0" collapsed="false">
      <c r="A10" s="138"/>
      <c r="B10" s="137" t="s">
        <v>195</v>
      </c>
      <c r="C10" s="134" t="s">
        <v>196</v>
      </c>
      <c r="D10" s="138" t="s">
        <v>192</v>
      </c>
      <c r="E10" s="175"/>
      <c r="F10" s="175"/>
    </row>
    <row r="13" customFormat="false" ht="10.5" hidden="false" customHeight="false" outlineLevel="0" collapsed="false">
      <c r="A13" s="140" t="s">
        <v>471</v>
      </c>
      <c r="B13" s="140"/>
      <c r="C13" s="140"/>
      <c r="D13" s="140"/>
      <c r="E13" s="140"/>
      <c r="F13" s="140"/>
      <c r="G13" s="143"/>
      <c r="H13" s="143"/>
      <c r="I13" s="143"/>
      <c r="J13" s="143"/>
      <c r="K13" s="143"/>
      <c r="L13" s="143"/>
      <c r="M13" s="143"/>
      <c r="N13" s="143"/>
      <c r="O13" s="143"/>
      <c r="P13" s="143"/>
      <c r="Q13" s="143"/>
      <c r="R13" s="143"/>
      <c r="S13" s="143"/>
      <c r="T13" s="143"/>
      <c r="U13" s="143"/>
      <c r="V13" s="143"/>
      <c r="W13" s="143"/>
      <c r="X13" s="143"/>
      <c r="Y13" s="143"/>
      <c r="Z13" s="143"/>
      <c r="AA13" s="143"/>
      <c r="AB13" s="143"/>
      <c r="AC13" s="143"/>
      <c r="AD13" s="143"/>
      <c r="AE13" s="143"/>
      <c r="AF13" s="143"/>
      <c r="AG13" s="143"/>
      <c r="AH13" s="143"/>
      <c r="AI13" s="143"/>
      <c r="AJ13" s="143"/>
      <c r="AK13" s="143"/>
      <c r="AL13" s="143"/>
      <c r="AM13" s="143"/>
      <c r="AN13" s="143"/>
      <c r="AO13" s="143"/>
      <c r="AP13" s="143"/>
      <c r="AQ13" s="143"/>
      <c r="AR13" s="143"/>
      <c r="AS13" s="143"/>
      <c r="AT13" s="143"/>
      <c r="AU13" s="143"/>
      <c r="AV13" s="143"/>
      <c r="AW13" s="143"/>
      <c r="AX13" s="143"/>
      <c r="AY13" s="143"/>
      <c r="AZ13" s="143"/>
      <c r="BA13" s="143"/>
      <c r="BB13" s="143"/>
      <c r="BC13" s="143"/>
      <c r="BD13" s="143"/>
      <c r="BE13" s="143"/>
      <c r="BF13" s="143"/>
      <c r="BG13" s="143"/>
      <c r="BH13" s="143"/>
      <c r="BI13" s="143"/>
      <c r="BJ13" s="143"/>
      <c r="BK13" s="143"/>
      <c r="BL13" s="143"/>
      <c r="BM13" s="143"/>
      <c r="BN13" s="143"/>
      <c r="BO13" s="143"/>
      <c r="BP13" s="143"/>
      <c r="BQ13" s="143"/>
      <c r="BR13" s="143"/>
      <c r="BS13" s="143"/>
      <c r="BT13" s="143"/>
      <c r="BU13" s="143"/>
      <c r="BV13" s="143"/>
      <c r="BW13" s="143"/>
      <c r="BX13" s="143"/>
      <c r="BY13" s="143"/>
      <c r="BZ13" s="143"/>
      <c r="CA13" s="143"/>
      <c r="CB13" s="143"/>
      <c r="CC13" s="143"/>
      <c r="CD13" s="143"/>
      <c r="CE13" s="143"/>
      <c r="CF13" s="143"/>
      <c r="CG13" s="143"/>
      <c r="CH13" s="143"/>
      <c r="CI13" s="143"/>
      <c r="CJ13" s="143"/>
      <c r="CK13" s="143"/>
      <c r="CL13" s="143"/>
      <c r="CM13" s="143"/>
      <c r="CN13" s="143"/>
      <c r="CO13" s="143"/>
      <c r="CP13" s="143"/>
      <c r="CQ13" s="143"/>
      <c r="CR13" s="143"/>
      <c r="CS13" s="143"/>
      <c r="CT13" s="143"/>
      <c r="CU13" s="143"/>
      <c r="CV13" s="143"/>
      <c r="CW13" s="143"/>
      <c r="CX13" s="143"/>
      <c r="CY13" s="143"/>
      <c r="CZ13" s="143"/>
      <c r="DA13" s="143"/>
      <c r="DB13" s="143"/>
      <c r="DC13" s="143"/>
      <c r="DD13" s="143"/>
      <c r="DE13" s="143"/>
      <c r="DF13" s="143"/>
      <c r="DG13" s="143"/>
      <c r="DH13" s="143"/>
      <c r="DI13" s="143"/>
      <c r="DJ13" s="143"/>
      <c r="DK13" s="143"/>
      <c r="DL13" s="143"/>
      <c r="DM13" s="143"/>
      <c r="DN13" s="143"/>
      <c r="DO13" s="143"/>
      <c r="DP13" s="143"/>
      <c r="DQ13" s="143"/>
      <c r="DR13" s="143"/>
      <c r="DS13" s="143"/>
      <c r="DT13" s="143"/>
      <c r="DU13" s="143"/>
      <c r="DV13" s="143"/>
      <c r="DW13" s="143"/>
      <c r="DX13" s="143"/>
      <c r="DY13" s="143"/>
      <c r="DZ13" s="143"/>
      <c r="EA13" s="143"/>
      <c r="EB13" s="143"/>
      <c r="EC13" s="143"/>
      <c r="ED13" s="143"/>
      <c r="EE13" s="143"/>
      <c r="EF13" s="143"/>
      <c r="EG13" s="143"/>
      <c r="EH13" s="143"/>
      <c r="EI13" s="143"/>
      <c r="EJ13" s="143"/>
      <c r="EK13" s="143"/>
      <c r="EL13" s="143"/>
      <c r="EM13" s="143"/>
      <c r="EN13" s="143"/>
      <c r="EO13" s="143"/>
      <c r="EP13" s="143"/>
      <c r="EQ13" s="143"/>
      <c r="ER13" s="143"/>
      <c r="ES13" s="143"/>
      <c r="ET13" s="143"/>
      <c r="EU13" s="143"/>
      <c r="EV13" s="143"/>
      <c r="EW13" s="143"/>
      <c r="EX13" s="143"/>
      <c r="EY13" s="143"/>
      <c r="EZ13" s="143"/>
      <c r="FA13" s="143"/>
      <c r="FB13" s="143"/>
      <c r="FC13" s="143"/>
      <c r="FD13" s="143"/>
      <c r="FE13" s="143"/>
      <c r="FF13" s="143"/>
      <c r="FG13" s="143"/>
      <c r="FH13" s="143"/>
      <c r="FI13" s="143"/>
      <c r="FJ13" s="143"/>
      <c r="FK13" s="143"/>
      <c r="FL13" s="143"/>
      <c r="FM13" s="143"/>
      <c r="FN13" s="143"/>
      <c r="FO13" s="143"/>
      <c r="FP13" s="143"/>
      <c r="FQ13" s="143"/>
      <c r="FR13" s="143"/>
      <c r="FS13" s="143"/>
      <c r="FT13" s="143"/>
      <c r="FU13" s="143"/>
      <c r="FV13" s="143"/>
      <c r="FW13" s="143"/>
      <c r="FX13" s="143"/>
      <c r="FY13" s="143"/>
      <c r="FZ13" s="143"/>
      <c r="GA13" s="143"/>
      <c r="GB13" s="143"/>
      <c r="GC13" s="143"/>
      <c r="GD13" s="143"/>
      <c r="GE13" s="143"/>
      <c r="GF13" s="143"/>
      <c r="GG13" s="143"/>
      <c r="GH13" s="143"/>
      <c r="GI13" s="143"/>
      <c r="GJ13" s="143"/>
      <c r="GK13" s="143"/>
      <c r="GL13" s="143"/>
      <c r="GM13" s="143"/>
      <c r="GN13" s="143"/>
      <c r="GO13" s="143"/>
      <c r="GP13" s="143"/>
      <c r="GQ13" s="143"/>
      <c r="GR13" s="143"/>
      <c r="GS13" s="143"/>
      <c r="GT13" s="143"/>
      <c r="GU13" s="143"/>
      <c r="GV13" s="143"/>
      <c r="GW13" s="143"/>
      <c r="GX13" s="143"/>
      <c r="GY13" s="143"/>
      <c r="GZ13" s="143"/>
      <c r="HA13" s="143"/>
      <c r="HB13" s="143"/>
      <c r="HC13" s="143"/>
      <c r="HD13" s="143"/>
      <c r="HE13" s="143"/>
      <c r="HF13" s="143"/>
      <c r="HG13" s="143"/>
      <c r="HH13" s="143"/>
      <c r="HI13" s="143"/>
      <c r="HJ13" s="143"/>
      <c r="HK13" s="143"/>
      <c r="HL13" s="143"/>
      <c r="HM13" s="143"/>
      <c r="HN13" s="143"/>
      <c r="HO13" s="143"/>
      <c r="HP13" s="143"/>
      <c r="HQ13" s="143"/>
      <c r="HR13" s="143"/>
      <c r="HS13" s="143"/>
      <c r="HT13" s="143"/>
      <c r="HU13" s="143"/>
      <c r="HV13" s="143"/>
      <c r="HW13" s="143"/>
      <c r="HX13" s="143"/>
      <c r="HY13" s="143"/>
      <c r="HZ13" s="143"/>
      <c r="IA13" s="143"/>
      <c r="IB13" s="143"/>
      <c r="IC13" s="143"/>
      <c r="ID13" s="143"/>
      <c r="IE13" s="143"/>
      <c r="IF13" s="143"/>
      <c r="IG13" s="143"/>
      <c r="IH13" s="143"/>
      <c r="II13" s="143"/>
      <c r="IJ13" s="143"/>
      <c r="IK13" s="143"/>
      <c r="IL13" s="143"/>
      <c r="IM13" s="143"/>
      <c r="IN13" s="143"/>
      <c r="IO13" s="143"/>
      <c r="IP13" s="143"/>
      <c r="IQ13" s="143"/>
      <c r="IR13" s="143"/>
      <c r="IS13" s="143"/>
      <c r="IT13" s="143"/>
      <c r="IU13" s="143"/>
    </row>
    <row r="14" customFormat="false" ht="19.4" hidden="false" customHeight="true" outlineLevel="0" collapsed="false">
      <c r="A14" s="171" t="s">
        <v>472</v>
      </c>
      <c r="B14" s="197" t="s">
        <v>473</v>
      </c>
      <c r="C14" s="197"/>
      <c r="D14" s="197" t="s">
        <v>474</v>
      </c>
      <c r="E14" s="197"/>
      <c r="F14" s="198" t="s">
        <v>475</v>
      </c>
      <c r="G14" s="198"/>
    </row>
    <row r="15" customFormat="false" ht="10.5" hidden="false" customHeight="false" outlineLevel="0" collapsed="false">
      <c r="A15" s="165" t="s">
        <v>476</v>
      </c>
      <c r="B15" s="166" t="s">
        <v>477</v>
      </c>
      <c r="C15" s="166"/>
      <c r="D15" s="166" t="s">
        <v>477</v>
      </c>
      <c r="E15" s="199"/>
      <c r="F15" s="199" t="s">
        <v>477</v>
      </c>
      <c r="G15" s="199"/>
    </row>
    <row r="16" customFormat="false" ht="10.5" hidden="false" customHeight="false" outlineLevel="0" collapsed="false">
      <c r="A16" s="171" t="s">
        <v>478</v>
      </c>
      <c r="B16" s="172" t="s">
        <v>479</v>
      </c>
      <c r="C16" s="172" t="s">
        <v>480</v>
      </c>
      <c r="D16" s="172" t="s">
        <v>479</v>
      </c>
      <c r="E16" s="200" t="s">
        <v>480</v>
      </c>
      <c r="F16" s="200" t="s">
        <v>479</v>
      </c>
      <c r="G16" s="200" t="s">
        <v>480</v>
      </c>
    </row>
    <row r="17" customFormat="false" ht="10.5" hidden="false" customHeight="false" outlineLevel="0" collapsed="false">
      <c r="A17" s="152" t="s">
        <v>273</v>
      </c>
      <c r="B17" s="138"/>
      <c r="C17" s="201"/>
      <c r="D17" s="138"/>
      <c r="F17" s="202"/>
    </row>
    <row r="18" customFormat="false" ht="10.5" hidden="false" customHeight="false" outlineLevel="0" collapsed="false">
      <c r="A18" s="138" t="s">
        <v>406</v>
      </c>
      <c r="B18" s="168" t="n">
        <v>445.5</v>
      </c>
      <c r="C18" s="160" t="n">
        <v>0.777894185437</v>
      </c>
      <c r="D18" s="168" t="n">
        <v>443.3</v>
      </c>
      <c r="E18" s="203" t="n">
        <v>0.767884981812</v>
      </c>
      <c r="F18" s="204" t="n">
        <v>486</v>
      </c>
      <c r="G18" s="203" t="n">
        <v>0.795547552791</v>
      </c>
    </row>
    <row r="19" customFormat="false" ht="10.5" hidden="false" customHeight="false" outlineLevel="0" collapsed="false">
      <c r="A19" s="138" t="s">
        <v>481</v>
      </c>
      <c r="B19" s="168" t="n">
        <v>123.4</v>
      </c>
      <c r="C19" s="160" t="n">
        <v>0.215470577964</v>
      </c>
      <c r="D19" s="168" t="n">
        <v>129.9</v>
      </c>
      <c r="E19" s="203" t="n">
        <v>0.225012991512</v>
      </c>
      <c r="F19" s="204" t="n">
        <v>120.7</v>
      </c>
      <c r="G19" s="203" t="n">
        <v>0.197577344901</v>
      </c>
    </row>
    <row r="20" customFormat="false" ht="10.5" hidden="false" customHeight="false" outlineLevel="0" collapsed="false">
      <c r="A20" s="138" t="s">
        <v>410</v>
      </c>
      <c r="B20" s="168" t="n">
        <v>3.8</v>
      </c>
      <c r="C20" s="160" t="n">
        <v>0.006635236599</v>
      </c>
      <c r="D20" s="168" t="n">
        <v>4.1</v>
      </c>
      <c r="E20" s="203" t="n">
        <v>0.007102026676</v>
      </c>
      <c r="F20" s="204" t="n">
        <v>4.2</v>
      </c>
      <c r="G20" s="203" t="n">
        <v>0.006875102308</v>
      </c>
    </row>
    <row r="21" customFormat="false" ht="10.5" hidden="false" customHeight="false" outlineLevel="0" collapsed="false">
      <c r="A21" s="152" t="s">
        <v>482</v>
      </c>
      <c r="B21" s="155" t="n">
        <v>572.7</v>
      </c>
      <c r="C21" s="205" t="n">
        <v>1</v>
      </c>
      <c r="D21" s="155" t="n">
        <v>577.3</v>
      </c>
      <c r="E21" s="206" t="n">
        <v>1</v>
      </c>
      <c r="F21" s="207" t="n">
        <v>610.9</v>
      </c>
      <c r="G21" s="206" t="n">
        <v>1</v>
      </c>
    </row>
    <row r="22" customFormat="false" ht="10.5" hidden="false" customHeight="false" outlineLevel="0" collapsed="false">
      <c r="A22" s="138"/>
      <c r="B22" s="138"/>
      <c r="C22" s="201"/>
      <c r="D22" s="138"/>
      <c r="F22" s="202"/>
    </row>
    <row r="23" customFormat="false" ht="10.5" hidden="false" customHeight="false" outlineLevel="0" collapsed="false">
      <c r="A23" s="138"/>
      <c r="B23" s="138" t="s">
        <v>273</v>
      </c>
      <c r="C23" s="201"/>
      <c r="D23" s="138" t="s">
        <v>273</v>
      </c>
      <c r="F23" s="202" t="s">
        <v>273</v>
      </c>
    </row>
    <row r="24" customFormat="false" ht="10.5" hidden="false" customHeight="false" outlineLevel="0" collapsed="false">
      <c r="A24" s="138" t="s">
        <v>215</v>
      </c>
      <c r="B24" s="173" t="s">
        <v>216</v>
      </c>
      <c r="C24" s="208"/>
      <c r="D24" s="173" t="s">
        <v>216</v>
      </c>
      <c r="E24" s="209"/>
      <c r="F24" s="210" t="s">
        <v>216</v>
      </c>
      <c r="G24" s="209"/>
    </row>
    <row r="25" customFormat="false" ht="10.5" hidden="false" customHeight="false" outlineLevel="0" collapsed="false">
      <c r="A25" s="138" t="s">
        <v>483</v>
      </c>
      <c r="B25" s="168" t="n">
        <v>1</v>
      </c>
      <c r="C25" s="160"/>
      <c r="D25" s="168" t="n">
        <v>1</v>
      </c>
      <c r="E25" s="203"/>
      <c r="F25" s="204" t="n">
        <v>1</v>
      </c>
      <c r="G25" s="203"/>
    </row>
    <row r="26" customFormat="false" ht="10.5" hidden="false" customHeight="false" outlineLevel="0" collapsed="false">
      <c r="A26" s="138" t="s">
        <v>484</v>
      </c>
      <c r="B26" s="173" t="s">
        <v>485</v>
      </c>
      <c r="C26" s="160"/>
      <c r="D26" s="173" t="s">
        <v>485</v>
      </c>
      <c r="E26" s="203"/>
      <c r="F26" s="210" t="s">
        <v>485</v>
      </c>
      <c r="G26" s="203"/>
    </row>
    <row r="27" customFormat="false" ht="10.5" hidden="false" customHeight="false" outlineLevel="0" collapsed="false">
      <c r="A27" s="164"/>
      <c r="B27" s="164"/>
      <c r="C27" s="164"/>
      <c r="D27" s="164"/>
    </row>
    <row r="29" customFormat="false" ht="10.5" hidden="false" customHeight="false" outlineLevel="0" collapsed="false">
      <c r="A29" s="140" t="s">
        <v>486</v>
      </c>
      <c r="B29" s="140"/>
      <c r="C29" s="140"/>
      <c r="D29" s="140"/>
      <c r="E29" s="140"/>
      <c r="F29" s="140"/>
      <c r="G29" s="143"/>
      <c r="H29" s="143"/>
      <c r="I29" s="143"/>
      <c r="J29" s="143"/>
      <c r="K29" s="143"/>
      <c r="L29" s="143"/>
      <c r="M29" s="143"/>
      <c r="N29" s="143"/>
      <c r="O29" s="143"/>
      <c r="P29" s="143"/>
      <c r="Q29" s="143"/>
      <c r="R29" s="143"/>
      <c r="S29" s="143"/>
      <c r="T29" s="143"/>
      <c r="U29" s="143"/>
      <c r="V29" s="143"/>
      <c r="W29" s="143"/>
      <c r="X29" s="143"/>
      <c r="Y29" s="143"/>
      <c r="Z29" s="143"/>
      <c r="AA29" s="143"/>
      <c r="AB29" s="143"/>
      <c r="AC29" s="143"/>
      <c r="AD29" s="143"/>
      <c r="AE29" s="143"/>
      <c r="AF29" s="143"/>
      <c r="AG29" s="143"/>
      <c r="AH29" s="143"/>
      <c r="AI29" s="143"/>
      <c r="AJ29" s="143"/>
      <c r="AK29" s="143"/>
      <c r="AL29" s="143"/>
      <c r="AM29" s="143"/>
      <c r="AN29" s="143"/>
      <c r="AO29" s="143"/>
      <c r="AP29" s="143"/>
      <c r="AQ29" s="143"/>
      <c r="AR29" s="143"/>
      <c r="AS29" s="143"/>
      <c r="AT29" s="143"/>
      <c r="AU29" s="143"/>
      <c r="AV29" s="143"/>
      <c r="AW29" s="143"/>
      <c r="AX29" s="143"/>
      <c r="AY29" s="143"/>
      <c r="AZ29" s="143"/>
      <c r="BA29" s="143"/>
      <c r="BB29" s="143"/>
      <c r="BC29" s="143"/>
      <c r="BD29" s="143"/>
      <c r="BE29" s="143"/>
      <c r="BF29" s="143"/>
      <c r="BG29" s="143"/>
      <c r="BH29" s="143"/>
      <c r="BI29" s="143"/>
      <c r="BJ29" s="143"/>
      <c r="BK29" s="143"/>
      <c r="BL29" s="143"/>
      <c r="BM29" s="143"/>
      <c r="BN29" s="143"/>
      <c r="BO29" s="143"/>
      <c r="BP29" s="143"/>
      <c r="BQ29" s="143"/>
      <c r="BR29" s="143"/>
      <c r="BS29" s="143"/>
      <c r="BT29" s="143"/>
      <c r="BU29" s="143"/>
      <c r="BV29" s="143"/>
      <c r="BW29" s="143"/>
      <c r="BX29" s="143"/>
      <c r="BY29" s="143"/>
      <c r="BZ29" s="143"/>
      <c r="CA29" s="143"/>
      <c r="CB29" s="143"/>
      <c r="CC29" s="143"/>
      <c r="CD29" s="143"/>
      <c r="CE29" s="143"/>
      <c r="CF29" s="143"/>
      <c r="CG29" s="143"/>
      <c r="CH29" s="143"/>
      <c r="CI29" s="143"/>
      <c r="CJ29" s="143"/>
      <c r="CK29" s="143"/>
      <c r="CL29" s="143"/>
      <c r="CM29" s="143"/>
      <c r="CN29" s="143"/>
      <c r="CO29" s="143"/>
      <c r="CP29" s="143"/>
      <c r="CQ29" s="143"/>
      <c r="CR29" s="143"/>
      <c r="CS29" s="143"/>
      <c r="CT29" s="143"/>
      <c r="CU29" s="143"/>
      <c r="CV29" s="143"/>
      <c r="CW29" s="143"/>
      <c r="CX29" s="143"/>
      <c r="CY29" s="143"/>
      <c r="CZ29" s="143"/>
      <c r="DA29" s="143"/>
      <c r="DB29" s="143"/>
      <c r="DC29" s="143"/>
      <c r="DD29" s="143"/>
      <c r="DE29" s="143"/>
      <c r="DF29" s="143"/>
      <c r="DG29" s="143"/>
      <c r="DH29" s="143"/>
      <c r="DI29" s="143"/>
      <c r="DJ29" s="143"/>
      <c r="DK29" s="143"/>
      <c r="DL29" s="143"/>
      <c r="DM29" s="143"/>
      <c r="DN29" s="143"/>
      <c r="DO29" s="143"/>
      <c r="DP29" s="143"/>
      <c r="DQ29" s="143"/>
      <c r="DR29" s="143"/>
      <c r="DS29" s="143"/>
      <c r="DT29" s="143"/>
      <c r="DU29" s="143"/>
      <c r="DV29" s="143"/>
      <c r="DW29" s="143"/>
      <c r="DX29" s="143"/>
      <c r="DY29" s="143"/>
      <c r="DZ29" s="143"/>
      <c r="EA29" s="143"/>
      <c r="EB29" s="143"/>
      <c r="EC29" s="143"/>
      <c r="ED29" s="143"/>
      <c r="EE29" s="143"/>
      <c r="EF29" s="143"/>
      <c r="EG29" s="143"/>
      <c r="EH29" s="143"/>
      <c r="EI29" s="143"/>
      <c r="EJ29" s="143"/>
      <c r="EK29" s="143"/>
      <c r="EL29" s="143"/>
      <c r="EM29" s="143"/>
      <c r="EN29" s="143"/>
      <c r="EO29" s="143"/>
      <c r="EP29" s="143"/>
      <c r="EQ29" s="143"/>
      <c r="ER29" s="143"/>
      <c r="ES29" s="143"/>
      <c r="ET29" s="143"/>
      <c r="EU29" s="143"/>
      <c r="EV29" s="143"/>
      <c r="EW29" s="143"/>
      <c r="EX29" s="143"/>
      <c r="EY29" s="143"/>
      <c r="EZ29" s="143"/>
      <c r="FA29" s="143"/>
      <c r="FB29" s="143"/>
      <c r="FC29" s="143"/>
      <c r="FD29" s="143"/>
      <c r="FE29" s="143"/>
      <c r="FF29" s="143"/>
      <c r="FG29" s="143"/>
      <c r="FH29" s="143"/>
      <c r="FI29" s="143"/>
      <c r="FJ29" s="143"/>
      <c r="FK29" s="143"/>
      <c r="FL29" s="143"/>
      <c r="FM29" s="143"/>
      <c r="FN29" s="143"/>
      <c r="FO29" s="143"/>
      <c r="FP29" s="143"/>
      <c r="FQ29" s="143"/>
      <c r="FR29" s="143"/>
      <c r="FS29" s="143"/>
      <c r="FT29" s="143"/>
      <c r="FU29" s="143"/>
      <c r="FV29" s="143"/>
      <c r="FW29" s="143"/>
      <c r="FX29" s="143"/>
      <c r="FY29" s="143"/>
      <c r="FZ29" s="143"/>
      <c r="GA29" s="143"/>
      <c r="GB29" s="143"/>
      <c r="GC29" s="143"/>
      <c r="GD29" s="143"/>
      <c r="GE29" s="143"/>
      <c r="GF29" s="143"/>
      <c r="GG29" s="143"/>
      <c r="GH29" s="143"/>
      <c r="GI29" s="143"/>
      <c r="GJ29" s="143"/>
      <c r="GK29" s="143"/>
      <c r="GL29" s="143"/>
      <c r="GM29" s="143"/>
      <c r="GN29" s="143"/>
      <c r="GO29" s="143"/>
      <c r="GP29" s="143"/>
      <c r="GQ29" s="143"/>
      <c r="GR29" s="143"/>
      <c r="GS29" s="143"/>
      <c r="GT29" s="143"/>
      <c r="GU29" s="143"/>
      <c r="GV29" s="143"/>
      <c r="GW29" s="143"/>
      <c r="GX29" s="143"/>
      <c r="GY29" s="143"/>
      <c r="GZ29" s="143"/>
      <c r="HA29" s="143"/>
      <c r="HB29" s="143"/>
      <c r="HC29" s="143"/>
      <c r="HD29" s="143"/>
      <c r="HE29" s="143"/>
      <c r="HF29" s="143"/>
      <c r="HG29" s="143"/>
      <c r="HH29" s="143"/>
      <c r="HI29" s="143"/>
      <c r="HJ29" s="143"/>
      <c r="HK29" s="143"/>
      <c r="HL29" s="143"/>
      <c r="HM29" s="143"/>
      <c r="HN29" s="143"/>
      <c r="HO29" s="143"/>
      <c r="HP29" s="143"/>
      <c r="HQ29" s="143"/>
      <c r="HR29" s="143"/>
      <c r="HS29" s="143"/>
      <c r="HT29" s="143"/>
      <c r="HU29" s="143"/>
      <c r="HV29" s="143"/>
      <c r="HW29" s="143"/>
      <c r="HX29" s="143"/>
      <c r="HY29" s="143"/>
      <c r="HZ29" s="143"/>
      <c r="IA29" s="143"/>
      <c r="IB29" s="143"/>
      <c r="IC29" s="143"/>
      <c r="ID29" s="143"/>
      <c r="IE29" s="143"/>
      <c r="IF29" s="143"/>
      <c r="IG29" s="143"/>
      <c r="IH29" s="143"/>
      <c r="II29" s="143"/>
      <c r="IJ29" s="143"/>
      <c r="IK29" s="143"/>
      <c r="IL29" s="143"/>
      <c r="IM29" s="143"/>
      <c r="IN29" s="143"/>
      <c r="IO29" s="143"/>
      <c r="IP29" s="143"/>
      <c r="IQ29" s="143"/>
      <c r="IR29" s="143"/>
      <c r="IS29" s="143"/>
      <c r="IT29" s="143"/>
      <c r="IU29" s="143"/>
    </row>
    <row r="30" customFormat="false" ht="19.4" hidden="false" customHeight="true" outlineLevel="0" collapsed="false">
      <c r="A30" s="171" t="s">
        <v>472</v>
      </c>
      <c r="B30" s="197" t="s">
        <v>473</v>
      </c>
      <c r="C30" s="197"/>
      <c r="D30" s="197" t="s">
        <v>474</v>
      </c>
      <c r="E30" s="197"/>
      <c r="F30" s="198" t="s">
        <v>475</v>
      </c>
      <c r="G30" s="198"/>
    </row>
    <row r="31" customFormat="false" ht="10.5" hidden="false" customHeight="false" outlineLevel="0" collapsed="false">
      <c r="A31" s="165" t="s">
        <v>476</v>
      </c>
      <c r="B31" s="166" t="s">
        <v>477</v>
      </c>
      <c r="C31" s="166"/>
      <c r="D31" s="166" t="s">
        <v>477</v>
      </c>
      <c r="E31" s="199"/>
      <c r="F31" s="199" t="s">
        <v>477</v>
      </c>
      <c r="G31" s="199"/>
    </row>
    <row r="32" customFormat="false" ht="10.5" hidden="false" customHeight="false" outlineLevel="0" collapsed="false">
      <c r="A32" s="171" t="s">
        <v>478</v>
      </c>
      <c r="B32" s="172" t="s">
        <v>479</v>
      </c>
      <c r="C32" s="172" t="s">
        <v>480</v>
      </c>
      <c r="D32" s="172" t="s">
        <v>479</v>
      </c>
      <c r="E32" s="200" t="s">
        <v>480</v>
      </c>
      <c r="F32" s="200" t="s">
        <v>479</v>
      </c>
      <c r="G32" s="200" t="s">
        <v>480</v>
      </c>
    </row>
    <row r="33" customFormat="false" ht="10.5" hidden="false" customHeight="false" outlineLevel="0" collapsed="false">
      <c r="A33" s="152" t="s">
        <v>273</v>
      </c>
      <c r="B33" s="138"/>
      <c r="C33" s="201"/>
      <c r="D33" s="138"/>
      <c r="F33" s="202"/>
    </row>
    <row r="34" customFormat="false" ht="10.5" hidden="false" customHeight="false" outlineLevel="0" collapsed="false">
      <c r="A34" s="138" t="s">
        <v>487</v>
      </c>
      <c r="B34" s="168" t="s">
        <v>230</v>
      </c>
      <c r="C34" s="160" t="s">
        <v>230</v>
      </c>
      <c r="D34" s="168" t="n">
        <v>0</v>
      </c>
      <c r="E34" s="203" t="n">
        <v>0</v>
      </c>
      <c r="F34" s="204" t="n">
        <v>0</v>
      </c>
      <c r="G34" s="203" t="n">
        <v>0</v>
      </c>
    </row>
    <row r="35" customFormat="false" ht="10.5" hidden="false" customHeight="false" outlineLevel="0" collapsed="false">
      <c r="A35" s="138" t="s">
        <v>488</v>
      </c>
      <c r="B35" s="168" t="n">
        <v>42.5</v>
      </c>
      <c r="C35" s="160" t="n">
        <v>0.095398</v>
      </c>
      <c r="D35" s="168" t="n">
        <v>40.3</v>
      </c>
      <c r="E35" s="203" t="n">
        <v>0.090909</v>
      </c>
      <c r="F35" s="204" t="n">
        <v>83</v>
      </c>
      <c r="G35" s="203" t="n">
        <v>0.170781</v>
      </c>
    </row>
    <row r="36" customFormat="false" ht="10.5" hidden="false" customHeight="false" outlineLevel="0" collapsed="false">
      <c r="A36" s="138" t="s">
        <v>489</v>
      </c>
      <c r="B36" s="168" t="n">
        <v>350</v>
      </c>
      <c r="C36" s="160" t="n">
        <v>0.785634</v>
      </c>
      <c r="D36" s="168" t="n">
        <v>350</v>
      </c>
      <c r="E36" s="203" t="n">
        <v>0.789533</v>
      </c>
      <c r="F36" s="204" t="n">
        <v>350</v>
      </c>
      <c r="G36" s="203" t="n">
        <v>0.720164</v>
      </c>
    </row>
    <row r="37" customFormat="false" ht="10.5" hidden="false" customHeight="false" outlineLevel="0" collapsed="false">
      <c r="A37" s="138" t="s">
        <v>490</v>
      </c>
      <c r="B37" s="168" t="n">
        <v>53</v>
      </c>
      <c r="C37" s="160" t="n">
        <v>0.118967</v>
      </c>
      <c r="D37" s="168" t="n">
        <v>53</v>
      </c>
      <c r="E37" s="203" t="n">
        <v>0.119557</v>
      </c>
      <c r="F37" s="204" t="n">
        <v>53</v>
      </c>
      <c r="G37" s="203" t="n">
        <v>0.109053</v>
      </c>
    </row>
    <row r="38" customFormat="false" ht="10.5" hidden="false" customHeight="false" outlineLevel="0" collapsed="false">
      <c r="A38" s="152" t="s">
        <v>491</v>
      </c>
      <c r="B38" s="155" t="n">
        <v>445.5</v>
      </c>
      <c r="C38" s="205" t="n">
        <v>1</v>
      </c>
      <c r="D38" s="155" t="n">
        <v>443.3</v>
      </c>
      <c r="E38" s="206" t="n">
        <v>1</v>
      </c>
      <c r="F38" s="207" t="n">
        <v>486</v>
      </c>
      <c r="G38" s="206" t="n">
        <v>1</v>
      </c>
    </row>
    <row r="39" customFormat="false" ht="10.5" hidden="false" customHeight="false" outlineLevel="0" collapsed="false">
      <c r="A39" s="138"/>
      <c r="B39" s="138"/>
      <c r="C39" s="201"/>
      <c r="D39" s="138"/>
      <c r="F39" s="202"/>
    </row>
    <row r="40" customFormat="false" ht="10.5" hidden="false" customHeight="false" outlineLevel="0" collapsed="false">
      <c r="A40" s="152" t="s">
        <v>492</v>
      </c>
      <c r="B40" s="155" t="n">
        <v>445.5</v>
      </c>
      <c r="C40" s="205" t="n">
        <v>1</v>
      </c>
      <c r="D40" s="155" t="n">
        <v>443.3</v>
      </c>
      <c r="E40" s="206" t="n">
        <v>1</v>
      </c>
      <c r="F40" s="207" t="n">
        <v>486</v>
      </c>
      <c r="G40" s="206" t="n">
        <v>1</v>
      </c>
    </row>
    <row r="41" customFormat="false" ht="10.5" hidden="false" customHeight="false" outlineLevel="0" collapsed="false">
      <c r="A41" s="138"/>
      <c r="B41" s="138"/>
      <c r="C41" s="201"/>
      <c r="D41" s="138"/>
      <c r="F41" s="202"/>
    </row>
    <row r="42" customFormat="false" ht="10.5" hidden="false" customHeight="false" outlineLevel="0" collapsed="false">
      <c r="A42" s="152" t="s">
        <v>493</v>
      </c>
      <c r="B42" s="138"/>
      <c r="C42" s="201"/>
      <c r="D42" s="138"/>
      <c r="F42" s="202"/>
    </row>
    <row r="43" customFormat="false" ht="10.5" hidden="false" customHeight="false" outlineLevel="0" collapsed="false">
      <c r="A43" s="138" t="s">
        <v>494</v>
      </c>
      <c r="B43" s="168" t="s">
        <v>230</v>
      </c>
      <c r="C43" s="160" t="s">
        <v>230</v>
      </c>
      <c r="D43" s="168" t="n">
        <v>48.7</v>
      </c>
      <c r="E43" s="203" t="s">
        <v>230</v>
      </c>
      <c r="F43" s="204" t="n">
        <v>51.6</v>
      </c>
      <c r="G43" s="203" t="s">
        <v>230</v>
      </c>
    </row>
    <row r="44" customFormat="false" ht="10.5" hidden="false" customHeight="false" outlineLevel="0" collapsed="false">
      <c r="A44" s="152" t="s">
        <v>495</v>
      </c>
      <c r="B44" s="155" t="s">
        <v>230</v>
      </c>
      <c r="C44" s="205" t="s">
        <v>230</v>
      </c>
      <c r="D44" s="155" t="n">
        <v>48.7</v>
      </c>
      <c r="E44" s="206" t="s">
        <v>230</v>
      </c>
      <c r="F44" s="207" t="n">
        <v>51.6</v>
      </c>
      <c r="G44" s="206" t="s">
        <v>230</v>
      </c>
    </row>
    <row r="45" customFormat="false" ht="10.5" hidden="false" customHeight="false" outlineLevel="0" collapsed="false">
      <c r="A45" s="138"/>
      <c r="B45" s="138"/>
      <c r="C45" s="201"/>
      <c r="D45" s="138"/>
      <c r="F45" s="202"/>
    </row>
    <row r="46" customFormat="false" ht="10.5" hidden="false" customHeight="false" outlineLevel="0" collapsed="false">
      <c r="A46" s="152" t="s">
        <v>496</v>
      </c>
      <c r="B46" s="138"/>
      <c r="C46" s="201"/>
      <c r="D46" s="138"/>
      <c r="F46" s="202"/>
    </row>
    <row r="47" customFormat="false" ht="10.5" hidden="false" customHeight="false" outlineLevel="0" collapsed="false">
      <c r="A47" s="138" t="s">
        <v>497</v>
      </c>
      <c r="B47" s="168" t="n">
        <v>28</v>
      </c>
      <c r="C47" s="160" t="s">
        <v>230</v>
      </c>
      <c r="D47" s="168" t="n">
        <v>36.8</v>
      </c>
      <c r="E47" s="203" t="s">
        <v>230</v>
      </c>
      <c r="F47" s="204" t="n">
        <v>40.3</v>
      </c>
      <c r="G47" s="203" t="s">
        <v>230</v>
      </c>
    </row>
    <row r="48" customFormat="false" ht="10.5" hidden="false" customHeight="false" outlineLevel="0" collapsed="false">
      <c r="A48" s="138" t="s">
        <v>407</v>
      </c>
      <c r="B48" s="168" t="n">
        <v>417.5</v>
      </c>
      <c r="C48" s="160" t="s">
        <v>230</v>
      </c>
      <c r="D48" s="168" t="n">
        <v>406.5</v>
      </c>
      <c r="E48" s="203" t="s">
        <v>230</v>
      </c>
      <c r="F48" s="204" t="n">
        <v>445.7</v>
      </c>
      <c r="G48" s="203" t="s">
        <v>230</v>
      </c>
    </row>
    <row r="49" customFormat="false" ht="10.5" hidden="false" customHeight="false" outlineLevel="0" collapsed="false">
      <c r="A49" s="138" t="s">
        <v>498</v>
      </c>
      <c r="B49" s="168" t="n">
        <v>445.5</v>
      </c>
      <c r="C49" s="160" t="n">
        <v>1</v>
      </c>
      <c r="D49" s="168" t="n">
        <v>443.3</v>
      </c>
      <c r="E49" s="203" t="n">
        <v>1</v>
      </c>
      <c r="F49" s="204" t="n">
        <v>486</v>
      </c>
      <c r="G49" s="203" t="n">
        <v>1</v>
      </c>
    </row>
    <row r="50" customFormat="false" ht="10.5" hidden="false" customHeight="false" outlineLevel="0" collapsed="false">
      <c r="A50" s="138" t="s">
        <v>499</v>
      </c>
      <c r="B50" s="168" t="n">
        <v>403</v>
      </c>
      <c r="C50" s="160" t="n">
        <v>0.904601</v>
      </c>
      <c r="D50" s="168" t="n">
        <v>403</v>
      </c>
      <c r="E50" s="203" t="n">
        <v>0.90909</v>
      </c>
      <c r="F50" s="204" t="n">
        <v>403</v>
      </c>
      <c r="G50" s="203" t="n">
        <v>0.829218</v>
      </c>
    </row>
    <row r="51" customFormat="false" ht="10.5" hidden="false" customHeight="false" outlineLevel="0" collapsed="false">
      <c r="A51" s="138" t="s">
        <v>500</v>
      </c>
      <c r="B51" s="168" t="n">
        <v>6.3</v>
      </c>
      <c r="C51" s="160" t="n">
        <v>0.014141</v>
      </c>
      <c r="D51" s="168" t="n">
        <v>5.6</v>
      </c>
      <c r="E51" s="203" t="n">
        <v>0.012632</v>
      </c>
      <c r="F51" s="204" t="n">
        <v>19.5</v>
      </c>
      <c r="G51" s="203" t="n">
        <v>0.040123</v>
      </c>
    </row>
    <row r="52" customFormat="false" ht="10.5" hidden="false" customHeight="false" outlineLevel="0" collapsed="false">
      <c r="A52" s="138" t="s">
        <v>501</v>
      </c>
      <c r="B52" s="168" t="n">
        <v>439.2</v>
      </c>
      <c r="C52" s="160" t="n">
        <v>0.985858</v>
      </c>
      <c r="D52" s="168" t="n">
        <v>437.7</v>
      </c>
      <c r="E52" s="203" t="n">
        <v>0.987367</v>
      </c>
      <c r="F52" s="204" t="n">
        <v>466.5</v>
      </c>
      <c r="G52" s="203" t="n">
        <v>0.959876</v>
      </c>
    </row>
    <row r="53" customFormat="false" ht="10.5" hidden="false" customHeight="false" outlineLevel="0" collapsed="false">
      <c r="A53" s="138" t="s">
        <v>502</v>
      </c>
      <c r="B53" s="168" t="n">
        <v>42.5</v>
      </c>
      <c r="C53" s="160" t="n">
        <v>0.095398</v>
      </c>
      <c r="D53" s="168" t="n">
        <v>40.3</v>
      </c>
      <c r="E53" s="203" t="n">
        <v>0.090909</v>
      </c>
      <c r="F53" s="204" t="n">
        <v>83</v>
      </c>
      <c r="G53" s="203" t="n">
        <v>0.170781</v>
      </c>
    </row>
    <row r="54" customFormat="false" ht="10.5" hidden="false" customHeight="false" outlineLevel="0" collapsed="false">
      <c r="A54" s="138" t="s">
        <v>503</v>
      </c>
      <c r="B54" s="168" t="n">
        <v>392.5</v>
      </c>
      <c r="C54" s="160" t="n">
        <v>0.881032</v>
      </c>
      <c r="D54" s="168" t="n">
        <v>384.4</v>
      </c>
      <c r="E54" s="203" t="n">
        <v>0.867132</v>
      </c>
      <c r="F54" s="204" t="n">
        <v>427.5</v>
      </c>
      <c r="G54" s="203" t="n">
        <v>0.879629</v>
      </c>
    </row>
    <row r="55" customFormat="false" ht="10.5" hidden="false" customHeight="false" outlineLevel="0" collapsed="false">
      <c r="A55" s="138" t="s">
        <v>504</v>
      </c>
      <c r="B55" s="168" t="n">
        <v>42.5</v>
      </c>
      <c r="C55" s="160" t="n">
        <v>0.095398</v>
      </c>
      <c r="D55" s="168" t="n">
        <v>34.4</v>
      </c>
      <c r="E55" s="203" t="n">
        <v>0.077599</v>
      </c>
      <c r="F55" s="204" t="n">
        <v>77.5</v>
      </c>
      <c r="G55" s="203" t="n">
        <v>0.159465</v>
      </c>
    </row>
    <row r="56" customFormat="false" ht="10.5" hidden="false" customHeight="false" outlineLevel="0" collapsed="false">
      <c r="A56" s="138" t="s">
        <v>505</v>
      </c>
      <c r="B56" s="168" t="n">
        <v>350</v>
      </c>
      <c r="C56" s="160" t="n">
        <v>0.785634</v>
      </c>
      <c r="D56" s="168" t="n">
        <v>350</v>
      </c>
      <c r="E56" s="203" t="n">
        <v>0.789533</v>
      </c>
      <c r="F56" s="204" t="n">
        <v>350</v>
      </c>
      <c r="G56" s="203" t="n">
        <v>0.720164</v>
      </c>
    </row>
    <row r="57" customFormat="false" ht="10.5" hidden="false" customHeight="false" outlineLevel="0" collapsed="false">
      <c r="A57" s="138" t="s">
        <v>506</v>
      </c>
      <c r="B57" s="168" t="n">
        <v>392.5</v>
      </c>
      <c r="C57" s="160" t="n">
        <v>0.881032</v>
      </c>
      <c r="D57" s="168" t="n">
        <v>384.4</v>
      </c>
      <c r="E57" s="203" t="n">
        <v>0.867132</v>
      </c>
      <c r="F57" s="204" t="n">
        <v>427.5</v>
      </c>
      <c r="G57" s="203" t="n">
        <v>0.879629</v>
      </c>
    </row>
    <row r="58" customFormat="false" ht="10.5" hidden="false" customHeight="false" outlineLevel="0" collapsed="false">
      <c r="A58" s="138" t="s">
        <v>507</v>
      </c>
      <c r="B58" s="168" t="n">
        <v>53</v>
      </c>
      <c r="C58" s="160" t="n">
        <v>0.118967</v>
      </c>
      <c r="D58" s="168" t="n">
        <v>58.9</v>
      </c>
      <c r="E58" s="203" t="n">
        <v>0.132867</v>
      </c>
      <c r="F58" s="204" t="n">
        <v>58.5</v>
      </c>
      <c r="G58" s="203" t="n">
        <v>0.12037</v>
      </c>
    </row>
    <row r="59" customFormat="false" ht="10.5" hidden="false" customHeight="false" outlineLevel="0" collapsed="false">
      <c r="A59" s="138" t="s">
        <v>508</v>
      </c>
      <c r="B59" s="168" t="n">
        <v>350</v>
      </c>
      <c r="C59" s="160" t="n">
        <v>0.785634</v>
      </c>
      <c r="D59" s="168" t="n">
        <v>350</v>
      </c>
      <c r="E59" s="203" t="n">
        <v>0.789533</v>
      </c>
      <c r="F59" s="204" t="n">
        <v>350</v>
      </c>
      <c r="G59" s="203" t="n">
        <v>0.720164</v>
      </c>
    </row>
    <row r="60" customFormat="false" ht="10.5" hidden="false" customHeight="false" outlineLevel="0" collapsed="false">
      <c r="A60" s="138" t="s">
        <v>509</v>
      </c>
      <c r="B60" s="168" t="n">
        <v>350</v>
      </c>
      <c r="C60" s="160" t="n">
        <v>0.785634</v>
      </c>
      <c r="D60" s="168" t="n">
        <v>350</v>
      </c>
      <c r="E60" s="203" t="n">
        <v>0.789533</v>
      </c>
      <c r="F60" s="204" t="n">
        <v>350</v>
      </c>
      <c r="G60" s="203" t="n">
        <v>0.720164</v>
      </c>
    </row>
    <row r="61" customFormat="false" ht="10.5" hidden="false" customHeight="false" outlineLevel="0" collapsed="false">
      <c r="A61" s="138" t="s">
        <v>510</v>
      </c>
      <c r="B61" s="168" t="n">
        <v>403</v>
      </c>
      <c r="C61" s="160" t="n">
        <v>0.904601</v>
      </c>
      <c r="D61" s="168" t="n">
        <v>408.9</v>
      </c>
      <c r="E61" s="203" t="n">
        <v>0.9224</v>
      </c>
      <c r="F61" s="204" t="n">
        <v>408.5</v>
      </c>
      <c r="G61" s="203" t="n">
        <v>0.840534</v>
      </c>
    </row>
    <row r="62" customFormat="false" ht="10.5" hidden="false" customHeight="false" outlineLevel="0" collapsed="false">
      <c r="A62" s="138" t="s">
        <v>511</v>
      </c>
      <c r="B62" s="168" t="n">
        <v>42.5</v>
      </c>
      <c r="C62" s="160" t="n">
        <v>0.095398</v>
      </c>
      <c r="D62" s="168" t="n">
        <v>34.4</v>
      </c>
      <c r="E62" s="203" t="n">
        <v>0.077599</v>
      </c>
      <c r="F62" s="204" t="n">
        <v>77.5</v>
      </c>
      <c r="G62" s="203" t="n">
        <v>0.159465</v>
      </c>
    </row>
    <row r="63" customFormat="false" ht="10.5" hidden="false" customHeight="false" outlineLevel="0" collapsed="false">
      <c r="A63" s="138"/>
      <c r="B63" s="138"/>
      <c r="C63" s="201"/>
      <c r="D63" s="138"/>
      <c r="F63" s="202"/>
    </row>
    <row r="64" customFormat="false" ht="10.5" hidden="false" customHeight="false" outlineLevel="0" collapsed="false">
      <c r="A64" s="152" t="s">
        <v>512</v>
      </c>
      <c r="B64" s="138"/>
      <c r="C64" s="201"/>
      <c r="D64" s="138"/>
      <c r="F64" s="202"/>
    </row>
    <row r="65" customFormat="false" ht="10.5" hidden="false" customHeight="false" outlineLevel="0" collapsed="false">
      <c r="A65" s="138" t="s">
        <v>513</v>
      </c>
      <c r="B65" s="211" t="n">
        <v>4.552889</v>
      </c>
      <c r="C65" s="160" t="s">
        <v>230</v>
      </c>
      <c r="D65" s="211" t="n">
        <v>3.912415</v>
      </c>
      <c r="E65" s="203" t="s">
        <v>230</v>
      </c>
      <c r="F65" s="212" t="n">
        <v>3.417945</v>
      </c>
      <c r="G65" s="203" t="s">
        <v>230</v>
      </c>
    </row>
    <row r="66" customFormat="false" ht="10.5" hidden="false" customHeight="false" outlineLevel="0" collapsed="false">
      <c r="A66" s="138" t="s">
        <v>514</v>
      </c>
      <c r="B66" s="211" t="n">
        <v>4.858233</v>
      </c>
      <c r="C66" s="160" t="s">
        <v>230</v>
      </c>
      <c r="D66" s="211" t="n">
        <v>4.266602</v>
      </c>
      <c r="E66" s="203" t="s">
        <v>230</v>
      </c>
      <c r="F66" s="212" t="n">
        <v>3.726994</v>
      </c>
      <c r="G66" s="203" t="s">
        <v>230</v>
      </c>
    </row>
    <row r="67" customFormat="false" ht="10.5" hidden="false" customHeight="false" outlineLevel="0" collapsed="false">
      <c r="A67" s="138" t="s">
        <v>515</v>
      </c>
      <c r="B67" s="211" t="n">
        <v>4.858233</v>
      </c>
      <c r="C67" s="160" t="s">
        <v>230</v>
      </c>
      <c r="D67" s="211" t="n">
        <v>4.266602</v>
      </c>
      <c r="E67" s="203" t="s">
        <v>230</v>
      </c>
      <c r="F67" s="212" t="n">
        <v>3.726994</v>
      </c>
      <c r="G67" s="203" t="s">
        <v>230</v>
      </c>
    </row>
    <row r="68" customFormat="false" ht="10.5" hidden="false" customHeight="false" outlineLevel="0" collapsed="false">
      <c r="A68" s="138" t="s">
        <v>516</v>
      </c>
      <c r="B68" s="211" t="n">
        <v>4.280261</v>
      </c>
      <c r="C68" s="160" t="s">
        <v>230</v>
      </c>
      <c r="D68" s="211" t="n">
        <v>3.699711</v>
      </c>
      <c r="E68" s="203" t="s">
        <v>230</v>
      </c>
      <c r="F68" s="212" t="n">
        <v>3.278374</v>
      </c>
      <c r="G68" s="203" t="s">
        <v>230</v>
      </c>
    </row>
    <row r="69" customFormat="false" ht="10.5" hidden="false" customHeight="false" outlineLevel="0" collapsed="false">
      <c r="A69" s="138" t="s">
        <v>517</v>
      </c>
      <c r="B69" s="211" t="n">
        <v>5.989956</v>
      </c>
      <c r="C69" s="160" t="s">
        <v>230</v>
      </c>
      <c r="D69" s="211" t="n">
        <v>6.331775</v>
      </c>
      <c r="E69" s="203" t="s">
        <v>230</v>
      </c>
      <c r="F69" s="212" t="n">
        <v>4.474899</v>
      </c>
      <c r="G69" s="203" t="s">
        <v>230</v>
      </c>
    </row>
    <row r="70" customFormat="false" ht="10.5" hidden="false" customHeight="false" outlineLevel="0" collapsed="false">
      <c r="A70" s="138" t="s">
        <v>518</v>
      </c>
      <c r="B70" s="211" t="n">
        <v>6.391678</v>
      </c>
      <c r="C70" s="160" t="s">
        <v>230</v>
      </c>
      <c r="D70" s="211" t="n">
        <v>6.904984</v>
      </c>
      <c r="E70" s="203" t="s">
        <v>230</v>
      </c>
      <c r="F70" s="212" t="n">
        <v>4.879518</v>
      </c>
      <c r="G70" s="203" t="s">
        <v>230</v>
      </c>
    </row>
    <row r="71" customFormat="false" ht="10.5" hidden="false" customHeight="false" outlineLevel="0" collapsed="false">
      <c r="A71" s="138" t="s">
        <v>519</v>
      </c>
      <c r="B71" s="211" t="n">
        <v>6.391678</v>
      </c>
      <c r="C71" s="160" t="s">
        <v>230</v>
      </c>
      <c r="D71" s="211" t="n">
        <v>6.904984</v>
      </c>
      <c r="E71" s="203" t="s">
        <v>230</v>
      </c>
      <c r="F71" s="212" t="n">
        <v>4.879518</v>
      </c>
      <c r="G71" s="203" t="s">
        <v>230</v>
      </c>
    </row>
    <row r="72" customFormat="false" ht="10.5" hidden="false" customHeight="false" outlineLevel="0" collapsed="false">
      <c r="A72" s="138" t="s">
        <v>520</v>
      </c>
      <c r="B72" s="211" t="n">
        <v>5.631276</v>
      </c>
      <c r="C72" s="160" t="s">
        <v>230</v>
      </c>
      <c r="D72" s="211" t="n">
        <v>5.987538</v>
      </c>
      <c r="E72" s="203" t="s">
        <v>230</v>
      </c>
      <c r="F72" s="212" t="n">
        <v>4.292169</v>
      </c>
      <c r="G72" s="203" t="s">
        <v>230</v>
      </c>
    </row>
    <row r="73" customFormat="false" ht="10.5" hidden="false" customHeight="false" outlineLevel="0" collapsed="false">
      <c r="A73" s="138"/>
      <c r="B73" s="138"/>
      <c r="C73" s="201"/>
      <c r="D73" s="138"/>
      <c r="F73" s="202"/>
    </row>
    <row r="74" customFormat="false" ht="10.5" hidden="false" customHeight="false" outlineLevel="0" collapsed="false">
      <c r="A74" s="152" t="s">
        <v>521</v>
      </c>
      <c r="B74" s="138"/>
      <c r="C74" s="201"/>
      <c r="D74" s="138"/>
      <c r="F74" s="202"/>
    </row>
    <row r="75" customFormat="false" ht="10.5" hidden="false" customHeight="false" outlineLevel="0" collapsed="false">
      <c r="A75" s="138" t="s">
        <v>522</v>
      </c>
      <c r="B75" s="168" t="n">
        <v>6.3</v>
      </c>
      <c r="C75" s="160" t="n">
        <v>0.014141414141</v>
      </c>
      <c r="D75" s="168" t="n">
        <v>5.6</v>
      </c>
      <c r="E75" s="203" t="n">
        <v>0.012632528762</v>
      </c>
      <c r="F75" s="204" t="s">
        <v>230</v>
      </c>
      <c r="G75" s="203" t="s">
        <v>230</v>
      </c>
    </row>
    <row r="76" customFormat="false" ht="10.5" hidden="false" customHeight="false" outlineLevel="0" collapsed="false">
      <c r="A76" s="138" t="s">
        <v>523</v>
      </c>
      <c r="B76" s="168" t="n">
        <v>7.5</v>
      </c>
      <c r="C76" s="160" t="n">
        <v>0.016835016835</v>
      </c>
      <c r="D76" s="168" t="n">
        <v>17.7</v>
      </c>
      <c r="E76" s="203" t="n">
        <v>0.039927814121</v>
      </c>
      <c r="F76" s="204" t="s">
        <v>230</v>
      </c>
      <c r="G76" s="203" t="s">
        <v>230</v>
      </c>
    </row>
    <row r="77" customFormat="false" ht="10.5" hidden="false" customHeight="false" outlineLevel="0" collapsed="false">
      <c r="A77" s="138" t="s">
        <v>524</v>
      </c>
      <c r="B77" s="168" t="n">
        <v>16.2</v>
      </c>
      <c r="C77" s="160" t="n">
        <v>0.036363636364</v>
      </c>
      <c r="D77" s="168" t="n">
        <v>14</v>
      </c>
      <c r="E77" s="203" t="n">
        <v>0.031581321904</v>
      </c>
      <c r="F77" s="204" t="s">
        <v>230</v>
      </c>
      <c r="G77" s="203" t="s">
        <v>230</v>
      </c>
    </row>
    <row r="78" customFormat="false" ht="10.5" hidden="false" customHeight="false" outlineLevel="0" collapsed="false">
      <c r="A78" s="138" t="s">
        <v>525</v>
      </c>
      <c r="B78" s="168" t="n">
        <v>12.5</v>
      </c>
      <c r="C78" s="160" t="n">
        <v>0.028058361392</v>
      </c>
      <c r="D78" s="168" t="n">
        <v>1.5</v>
      </c>
      <c r="E78" s="203" t="n">
        <v>0.003383713061</v>
      </c>
      <c r="F78" s="204" t="s">
        <v>230</v>
      </c>
      <c r="G78" s="203" t="s">
        <v>230</v>
      </c>
    </row>
    <row r="79" customFormat="false" ht="10.5" hidden="false" customHeight="false" outlineLevel="0" collapsed="false">
      <c r="A79" s="138" t="s">
        <v>526</v>
      </c>
      <c r="B79" s="168" t="s">
        <v>230</v>
      </c>
      <c r="C79" s="160" t="s">
        <v>230</v>
      </c>
      <c r="D79" s="168" t="n">
        <v>1.5</v>
      </c>
      <c r="E79" s="203" t="n">
        <v>0.003383713061</v>
      </c>
      <c r="F79" s="204" t="s">
        <v>230</v>
      </c>
      <c r="G79" s="203" t="s">
        <v>230</v>
      </c>
    </row>
    <row r="80" customFormat="false" ht="10.5" hidden="false" customHeight="false" outlineLevel="0" collapsed="false">
      <c r="A80" s="138" t="s">
        <v>527</v>
      </c>
      <c r="B80" s="168" t="n">
        <v>42.5</v>
      </c>
      <c r="C80" s="160" t="n">
        <v>0.095398428732</v>
      </c>
      <c r="D80" s="168" t="n">
        <v>40.3</v>
      </c>
      <c r="E80" s="203" t="n">
        <v>0.090909090909</v>
      </c>
      <c r="F80" s="204" t="s">
        <v>230</v>
      </c>
      <c r="G80" s="203" t="s">
        <v>230</v>
      </c>
    </row>
    <row r="81" customFormat="false" ht="10.5" hidden="false" customHeight="false" outlineLevel="0" collapsed="false">
      <c r="A81" s="138" t="s">
        <v>528</v>
      </c>
      <c r="B81" s="168" t="n">
        <v>350</v>
      </c>
      <c r="C81" s="160" t="n">
        <v>0.785634118967</v>
      </c>
      <c r="D81" s="168" t="n">
        <v>350</v>
      </c>
      <c r="E81" s="203" t="n">
        <v>0.789533047598</v>
      </c>
      <c r="F81" s="204" t="s">
        <v>230</v>
      </c>
      <c r="G81" s="203" t="s">
        <v>230</v>
      </c>
    </row>
    <row r="82" customFormat="false" ht="10.5" hidden="false" customHeight="false" outlineLevel="0" collapsed="false">
      <c r="A82" s="138"/>
      <c r="B82" s="138"/>
      <c r="C82" s="201"/>
      <c r="D82" s="138"/>
      <c r="F82" s="202"/>
    </row>
    <row r="83" customFormat="false" ht="10.5" hidden="false" customHeight="false" outlineLevel="0" collapsed="false">
      <c r="A83" s="138" t="s">
        <v>529</v>
      </c>
      <c r="B83" s="168" t="n">
        <v>8.3</v>
      </c>
      <c r="C83" s="160" t="s">
        <v>230</v>
      </c>
      <c r="D83" s="168" t="n">
        <v>9.3</v>
      </c>
      <c r="E83" s="203" t="s">
        <v>230</v>
      </c>
      <c r="F83" s="204" t="s">
        <v>230</v>
      </c>
      <c r="G83" s="203" t="s">
        <v>230</v>
      </c>
    </row>
    <row r="84" customFormat="false" ht="10.5" hidden="false" customHeight="false" outlineLevel="0" collapsed="false">
      <c r="A84" s="138" t="s">
        <v>530</v>
      </c>
      <c r="B84" s="168" t="n">
        <v>7.3</v>
      </c>
      <c r="C84" s="160" t="s">
        <v>230</v>
      </c>
      <c r="D84" s="168" t="n">
        <v>8.8</v>
      </c>
      <c r="E84" s="203" t="s">
        <v>230</v>
      </c>
      <c r="F84" s="204" t="s">
        <v>230</v>
      </c>
      <c r="G84" s="203" t="s">
        <v>230</v>
      </c>
    </row>
    <row r="85" customFormat="false" ht="10.5" hidden="false" customHeight="false" outlineLevel="0" collapsed="false">
      <c r="A85" s="138" t="s">
        <v>531</v>
      </c>
      <c r="B85" s="168" t="n">
        <v>6.4</v>
      </c>
      <c r="C85" s="160" t="s">
        <v>230</v>
      </c>
      <c r="D85" s="168" t="n">
        <v>7.8</v>
      </c>
      <c r="E85" s="203" t="s">
        <v>230</v>
      </c>
      <c r="F85" s="204" t="s">
        <v>230</v>
      </c>
      <c r="G85" s="203" t="s">
        <v>230</v>
      </c>
    </row>
    <row r="86" customFormat="false" ht="10.5" hidden="false" customHeight="false" outlineLevel="0" collapsed="false">
      <c r="A86" s="138" t="s">
        <v>532</v>
      </c>
      <c r="B86" s="168" t="n">
        <v>5.6</v>
      </c>
      <c r="C86" s="160" t="s">
        <v>230</v>
      </c>
      <c r="D86" s="168" t="n">
        <v>6.5</v>
      </c>
      <c r="E86" s="203" t="s">
        <v>230</v>
      </c>
      <c r="F86" s="204" t="s">
        <v>230</v>
      </c>
      <c r="G86" s="203" t="s">
        <v>230</v>
      </c>
    </row>
    <row r="87" customFormat="false" ht="10.5" hidden="false" customHeight="false" outlineLevel="0" collapsed="false">
      <c r="A87" s="138" t="s">
        <v>533</v>
      </c>
      <c r="B87" s="168" t="n">
        <v>4.5</v>
      </c>
      <c r="C87" s="160" t="s">
        <v>230</v>
      </c>
      <c r="D87" s="168" t="n">
        <v>5.3</v>
      </c>
      <c r="E87" s="203" t="s">
        <v>230</v>
      </c>
      <c r="F87" s="204" t="s">
        <v>230</v>
      </c>
      <c r="G87" s="203" t="s">
        <v>230</v>
      </c>
    </row>
    <row r="88" customFormat="false" ht="10.5" hidden="false" customHeight="false" outlineLevel="0" collapsed="false">
      <c r="A88" s="138" t="s">
        <v>534</v>
      </c>
      <c r="B88" s="168" t="n">
        <v>32.1</v>
      </c>
      <c r="C88" s="160" t="s">
        <v>230</v>
      </c>
      <c r="D88" s="168" t="n">
        <v>37.7</v>
      </c>
      <c r="E88" s="203" t="s">
        <v>230</v>
      </c>
      <c r="F88" s="204" t="s">
        <v>230</v>
      </c>
      <c r="G88" s="203" t="s">
        <v>230</v>
      </c>
    </row>
    <row r="89" customFormat="false" ht="10.5" hidden="false" customHeight="false" outlineLevel="0" collapsed="false">
      <c r="A89" s="138" t="s">
        <v>535</v>
      </c>
      <c r="B89" s="168" t="n">
        <v>20.7</v>
      </c>
      <c r="C89" s="160" t="s">
        <v>230</v>
      </c>
      <c r="D89" s="168" t="n">
        <v>34.7</v>
      </c>
      <c r="E89" s="203" t="s">
        <v>230</v>
      </c>
      <c r="F89" s="204" t="s">
        <v>230</v>
      </c>
      <c r="G89" s="203" t="s">
        <v>230</v>
      </c>
    </row>
    <row r="90" customFormat="false" ht="10.5" hidden="false" customHeight="false" outlineLevel="0" collapsed="false">
      <c r="A90" s="138"/>
      <c r="B90" s="138"/>
      <c r="C90" s="201"/>
      <c r="D90" s="138"/>
      <c r="F90" s="202"/>
    </row>
    <row r="91" customFormat="false" ht="10.5" hidden="false" customHeight="false" outlineLevel="0" collapsed="false">
      <c r="A91" s="138" t="s">
        <v>536</v>
      </c>
      <c r="B91" s="168" t="n">
        <v>5.1</v>
      </c>
      <c r="C91" s="160" t="s">
        <v>230</v>
      </c>
      <c r="D91" s="168" t="n">
        <v>11.6</v>
      </c>
      <c r="E91" s="203" t="s">
        <v>230</v>
      </c>
      <c r="F91" s="204" t="s">
        <v>230</v>
      </c>
      <c r="G91" s="203" t="s">
        <v>230</v>
      </c>
    </row>
    <row r="92" customFormat="false" ht="10.5" hidden="false" customHeight="false" outlineLevel="0" collapsed="false">
      <c r="A92" s="138" t="s">
        <v>537</v>
      </c>
      <c r="B92" s="168" t="n">
        <v>4.667</v>
      </c>
      <c r="C92" s="160" t="s">
        <v>230</v>
      </c>
      <c r="D92" s="168" t="n">
        <v>11.867</v>
      </c>
      <c r="E92" s="203" t="s">
        <v>230</v>
      </c>
      <c r="F92" s="204" t="s">
        <v>230</v>
      </c>
      <c r="G92" s="203" t="s">
        <v>230</v>
      </c>
    </row>
    <row r="93" customFormat="false" ht="10.5" hidden="false" customHeight="false" outlineLevel="0" collapsed="false">
      <c r="A93" s="138" t="s">
        <v>538</v>
      </c>
      <c r="B93" s="168" t="n">
        <v>4.667</v>
      </c>
      <c r="C93" s="160" t="s">
        <v>230</v>
      </c>
      <c r="D93" s="168" t="n">
        <v>11.867</v>
      </c>
      <c r="E93" s="203" t="s">
        <v>230</v>
      </c>
      <c r="F93" s="204" t="s">
        <v>230</v>
      </c>
      <c r="G93" s="203" t="s">
        <v>230</v>
      </c>
    </row>
    <row r="94" customFormat="false" ht="10.5" hidden="false" customHeight="false" outlineLevel="0" collapsed="false">
      <c r="A94" s="138" t="s">
        <v>539</v>
      </c>
      <c r="B94" s="168" t="n">
        <v>4.666</v>
      </c>
      <c r="C94" s="160" t="s">
        <v>230</v>
      </c>
      <c r="D94" s="168" t="n">
        <v>11.866</v>
      </c>
      <c r="E94" s="203" t="s">
        <v>230</v>
      </c>
      <c r="F94" s="204" t="s">
        <v>230</v>
      </c>
      <c r="G94" s="203" t="s">
        <v>230</v>
      </c>
    </row>
    <row r="95" customFormat="false" ht="10.5" hidden="false" customHeight="false" outlineLevel="0" collapsed="false">
      <c r="A95" s="138" t="s">
        <v>540</v>
      </c>
      <c r="B95" s="168" t="n">
        <v>3.9</v>
      </c>
      <c r="C95" s="160" t="s">
        <v>230</v>
      </c>
      <c r="D95" s="168" t="n">
        <v>28.425</v>
      </c>
      <c r="E95" s="203" t="s">
        <v>230</v>
      </c>
      <c r="F95" s="204" t="s">
        <v>230</v>
      </c>
      <c r="G95" s="203" t="s">
        <v>230</v>
      </c>
    </row>
    <row r="96" customFormat="false" ht="10.5" hidden="false" customHeight="false" outlineLevel="0" collapsed="false">
      <c r="A96" s="138" t="s">
        <v>541</v>
      </c>
      <c r="B96" s="168" t="n">
        <v>23</v>
      </c>
      <c r="C96" s="160" t="s">
        <v>230</v>
      </c>
      <c r="D96" s="168" t="n">
        <v>75.625</v>
      </c>
      <c r="E96" s="203" t="s">
        <v>230</v>
      </c>
      <c r="F96" s="204" t="s">
        <v>230</v>
      </c>
      <c r="G96" s="203" t="s">
        <v>230</v>
      </c>
    </row>
    <row r="97" customFormat="false" ht="10.5" hidden="false" customHeight="false" outlineLevel="0" collapsed="false">
      <c r="A97" s="138" t="s">
        <v>542</v>
      </c>
      <c r="B97" s="168" t="n">
        <v>227.2</v>
      </c>
      <c r="C97" s="160" t="s">
        <v>230</v>
      </c>
      <c r="D97" s="168" t="n">
        <v>89.775</v>
      </c>
      <c r="E97" s="203" t="s">
        <v>230</v>
      </c>
      <c r="F97" s="204" t="s">
        <v>230</v>
      </c>
      <c r="G97" s="203" t="s">
        <v>230</v>
      </c>
    </row>
    <row r="98" customFormat="false" ht="10.5" hidden="false" customHeight="false" outlineLevel="0" collapsed="false">
      <c r="A98" s="138" t="s">
        <v>543</v>
      </c>
      <c r="B98" s="168" t="n">
        <v>250.2</v>
      </c>
      <c r="C98" s="160" t="s">
        <v>230</v>
      </c>
      <c r="D98" s="168" t="n">
        <v>165.4</v>
      </c>
      <c r="E98" s="203" t="s">
        <v>230</v>
      </c>
      <c r="F98" s="204" t="s">
        <v>230</v>
      </c>
      <c r="G98" s="203" t="s">
        <v>230</v>
      </c>
    </row>
    <row r="99" customFormat="false" ht="10.5" hidden="false" customHeight="false" outlineLevel="0" collapsed="false">
      <c r="A99" s="138"/>
      <c r="B99" s="138"/>
      <c r="C99" s="201"/>
      <c r="D99" s="138"/>
      <c r="F99" s="202"/>
    </row>
    <row r="100" customFormat="false" ht="10.5" hidden="false" customHeight="false" outlineLevel="0" collapsed="false">
      <c r="A100" s="152" t="s">
        <v>544</v>
      </c>
      <c r="B100" s="138"/>
      <c r="C100" s="201"/>
      <c r="D100" s="138"/>
      <c r="F100" s="202"/>
    </row>
    <row r="101" customFormat="false" ht="10.5" hidden="false" customHeight="false" outlineLevel="0" collapsed="false">
      <c r="A101" s="138" t="s">
        <v>329</v>
      </c>
      <c r="B101" s="188" t="n">
        <v>41712</v>
      </c>
      <c r="C101" s="160" t="s">
        <v>230</v>
      </c>
      <c r="D101" s="188" t="n">
        <v>41712</v>
      </c>
      <c r="E101" s="203" t="s">
        <v>230</v>
      </c>
      <c r="F101" s="213" t="n">
        <v>41957</v>
      </c>
      <c r="G101" s="203" t="s">
        <v>230</v>
      </c>
    </row>
    <row r="102" customFormat="false" ht="10.5" hidden="false" customHeight="false" outlineLevel="0" collapsed="false">
      <c r="A102" s="138"/>
      <c r="B102" s="138" t="s">
        <v>273</v>
      </c>
      <c r="C102" s="201"/>
      <c r="D102" s="138" t="s">
        <v>273</v>
      </c>
      <c r="F102" s="202" t="s">
        <v>273</v>
      </c>
    </row>
    <row r="103" customFormat="false" ht="10.5" hidden="false" customHeight="false" outlineLevel="0" collapsed="false">
      <c r="A103" s="138" t="s">
        <v>215</v>
      </c>
      <c r="B103" s="173" t="s">
        <v>216</v>
      </c>
      <c r="C103" s="208"/>
      <c r="D103" s="173" t="s">
        <v>216</v>
      </c>
      <c r="E103" s="209"/>
      <c r="F103" s="210" t="s">
        <v>216</v>
      </c>
      <c r="G103" s="209"/>
    </row>
    <row r="104" customFormat="false" ht="10.5" hidden="false" customHeight="false" outlineLevel="0" collapsed="false">
      <c r="A104" s="138" t="s">
        <v>483</v>
      </c>
      <c r="B104" s="168" t="n">
        <v>1</v>
      </c>
      <c r="C104" s="160"/>
      <c r="D104" s="168" t="n">
        <v>1</v>
      </c>
      <c r="E104" s="203"/>
      <c r="F104" s="204" t="n">
        <v>1</v>
      </c>
      <c r="G104" s="203"/>
    </row>
    <row r="105" customFormat="false" ht="10.5" hidden="false" customHeight="false" outlineLevel="0" collapsed="false">
      <c r="A105" s="138" t="s">
        <v>484</v>
      </c>
      <c r="B105" s="173" t="s">
        <v>485</v>
      </c>
      <c r="C105" s="160"/>
      <c r="D105" s="173" t="s">
        <v>485</v>
      </c>
      <c r="E105" s="203"/>
      <c r="F105" s="210" t="s">
        <v>485</v>
      </c>
      <c r="G105" s="203"/>
    </row>
    <row r="106" customFormat="false" ht="55.2" hidden="false" customHeight="false" outlineLevel="0" collapsed="false">
      <c r="A106" s="174" t="s">
        <v>254</v>
      </c>
      <c r="B106" s="164"/>
      <c r="C106" s="164"/>
      <c r="D106" s="164"/>
    </row>
  </sheetData>
  <mergeCells count="6">
    <mergeCell ref="B14:C14"/>
    <mergeCell ref="D14:E14"/>
    <mergeCell ref="F14:G14"/>
    <mergeCell ref="B30:C30"/>
    <mergeCell ref="D30:E30"/>
    <mergeCell ref="F30:G30"/>
  </mergeCells>
  <printOptions headings="false" gridLines="false" gridLinesSet="true" horizontalCentered="false" verticalCentered="false"/>
  <pageMargins left="0.2" right="0.2" top="0.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B3:D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28" activeCellId="0" sqref="F28"/>
    </sheetView>
  </sheetViews>
  <sheetFormatPr defaultColWidth="8.83203125" defaultRowHeight="15" zeroHeight="false" outlineLevelRow="0" outlineLevelCol="0"/>
  <sheetData>
    <row r="3" customFormat="false" ht="15" hidden="false" customHeight="false" outlineLevel="0" collapsed="false">
      <c r="B3" s="214" t="s">
        <v>545</v>
      </c>
      <c r="C3" s="214"/>
      <c r="D3" s="214"/>
    </row>
    <row r="4" customFormat="false" ht="15" hidden="false" customHeight="false" outlineLevel="0" collapsed="false">
      <c r="B4" s="215" t="s">
        <v>66</v>
      </c>
      <c r="C4" s="215" t="s">
        <v>546</v>
      </c>
      <c r="D4" s="215" t="s">
        <v>67</v>
      </c>
    </row>
    <row r="5" customFormat="false" ht="15" hidden="false" customHeight="false" outlineLevel="0" collapsed="false">
      <c r="B5" s="216" t="n">
        <v>2</v>
      </c>
      <c r="C5" s="217" t="n">
        <v>1</v>
      </c>
      <c r="D5" s="218" t="n">
        <v>1</v>
      </c>
    </row>
    <row r="6" customFormat="false" ht="15" hidden="false" customHeight="false" outlineLevel="0" collapsed="false">
      <c r="B6" s="216" t="n">
        <v>2</v>
      </c>
      <c r="C6" s="217" t="n">
        <v>2</v>
      </c>
      <c r="D6" s="218" t="n">
        <v>0.4</v>
      </c>
    </row>
    <row r="7" customFormat="false" ht="15" hidden="false" customHeight="false" outlineLevel="0" collapsed="false">
      <c r="B7" s="216" t="n">
        <v>2</v>
      </c>
      <c r="C7" s="217" t="n">
        <v>3</v>
      </c>
      <c r="D7" s="218" t="n">
        <v>0.25</v>
      </c>
    </row>
    <row r="8" customFormat="false" ht="15" hidden="false" customHeight="false" outlineLevel="0" collapsed="false">
      <c r="B8" s="216" t="n">
        <v>2</v>
      </c>
      <c r="C8" s="217" t="n">
        <v>4</v>
      </c>
      <c r="D8" s="218" t="n">
        <v>0.2</v>
      </c>
    </row>
    <row r="9" customFormat="false" ht="15" hidden="false" customHeight="false" outlineLevel="0" collapsed="false">
      <c r="B9" s="216" t="n">
        <v>2</v>
      </c>
      <c r="C9" s="217" t="n">
        <v>5</v>
      </c>
      <c r="D9" s="218" t="n">
        <v>0.15</v>
      </c>
    </row>
    <row r="10" customFormat="false" ht="15" hidden="false" customHeight="false" outlineLevel="0" collapsed="false">
      <c r="B10" s="219"/>
      <c r="C10" s="219"/>
      <c r="D10" s="219"/>
    </row>
    <row r="11" customFormat="false" ht="15" hidden="false" customHeight="false" outlineLevel="0" collapsed="false">
      <c r="B11" s="214" t="s">
        <v>545</v>
      </c>
      <c r="C11" s="214"/>
      <c r="D11" s="214"/>
    </row>
    <row r="12" customFormat="false" ht="15" hidden="false" customHeight="false" outlineLevel="0" collapsed="false">
      <c r="B12" s="215" t="s">
        <v>66</v>
      </c>
      <c r="C12" s="215" t="s">
        <v>546</v>
      </c>
      <c r="D12" s="215" t="s">
        <v>67</v>
      </c>
    </row>
    <row r="13" customFormat="false" ht="15" hidden="false" customHeight="false" outlineLevel="0" collapsed="false">
      <c r="B13" s="216" t="n">
        <v>3</v>
      </c>
      <c r="C13" s="217" t="n">
        <v>3</v>
      </c>
      <c r="D13" s="218" t="n">
        <v>0.45</v>
      </c>
    </row>
    <row r="14" customFormat="false" ht="15" hidden="false" customHeight="false" outlineLevel="0" collapsed="false">
      <c r="B14" s="216" t="n">
        <v>3</v>
      </c>
      <c r="C14" s="217" t="n">
        <v>5</v>
      </c>
      <c r="D14" s="218" t="n">
        <v>0.25</v>
      </c>
    </row>
    <row r="15" customFormat="false" ht="15" hidden="false" customHeight="false" outlineLevel="0" collapsed="false">
      <c r="B15" s="219"/>
      <c r="C15" s="219"/>
      <c r="D15" s="219"/>
    </row>
    <row r="16" customFormat="false" ht="15" hidden="false" customHeight="false" outlineLevel="0" collapsed="false">
      <c r="B16" s="214" t="s">
        <v>545</v>
      </c>
      <c r="C16" s="214"/>
      <c r="D16" s="214"/>
    </row>
    <row r="17" customFormat="false" ht="15" hidden="false" customHeight="false" outlineLevel="0" collapsed="false">
      <c r="B17" s="215" t="s">
        <v>66</v>
      </c>
      <c r="C17" s="215" t="s">
        <v>546</v>
      </c>
      <c r="D17" s="215" t="s">
        <v>67</v>
      </c>
    </row>
    <row r="18" customFormat="false" ht="15" hidden="false" customHeight="false" outlineLevel="0" collapsed="false">
      <c r="B18" s="216" t="n">
        <v>2</v>
      </c>
      <c r="C18" s="217" t="n">
        <v>3</v>
      </c>
      <c r="D18" s="218" t="n">
        <v>0.25</v>
      </c>
    </row>
    <row r="19" customFormat="false" ht="15" hidden="false" customHeight="false" outlineLevel="0" collapsed="false">
      <c r="B19" s="216" t="n">
        <v>2.5</v>
      </c>
      <c r="C19" s="217" t="n">
        <v>3</v>
      </c>
      <c r="D19" s="218" t="n">
        <v>0.35</v>
      </c>
    </row>
    <row r="20" customFormat="false" ht="15" hidden="false" customHeight="false" outlineLevel="0" collapsed="false">
      <c r="B20" s="216" t="n">
        <v>3</v>
      </c>
      <c r="C20" s="217" t="n">
        <v>3</v>
      </c>
      <c r="D20" s="218" t="n">
        <v>0.45</v>
      </c>
    </row>
    <row r="21" customFormat="false" ht="15" hidden="false" customHeight="false" outlineLevel="0" collapsed="false">
      <c r="B21" s="219"/>
      <c r="C21" s="219"/>
      <c r="D21" s="219"/>
    </row>
    <row r="22" customFormat="false" ht="15" hidden="false" customHeight="false" outlineLevel="0" collapsed="false">
      <c r="B22" s="214" t="s">
        <v>545</v>
      </c>
      <c r="C22" s="214"/>
      <c r="D22" s="214"/>
    </row>
    <row r="23" customFormat="false" ht="15" hidden="false" customHeight="false" outlineLevel="0" collapsed="false">
      <c r="B23" s="215" t="s">
        <v>66</v>
      </c>
      <c r="C23" s="215" t="s">
        <v>546</v>
      </c>
      <c r="D23" s="215" t="s">
        <v>67</v>
      </c>
    </row>
    <row r="24" customFormat="false" ht="15" hidden="false" customHeight="false" outlineLevel="0" collapsed="false">
      <c r="B24" s="216" t="n">
        <v>2</v>
      </c>
      <c r="C24" s="217" t="n">
        <v>5</v>
      </c>
      <c r="D24" s="218" t="n">
        <v>0.15</v>
      </c>
    </row>
    <row r="25" customFormat="false" ht="15" hidden="false" customHeight="false" outlineLevel="0" collapsed="false">
      <c r="B25" s="216" t="n">
        <v>2.5</v>
      </c>
      <c r="C25" s="217" t="n">
        <v>5</v>
      </c>
      <c r="D25" s="218" t="n">
        <v>0.2</v>
      </c>
    </row>
    <row r="26" customFormat="false" ht="15" hidden="false" customHeight="false" outlineLevel="0" collapsed="false">
      <c r="B26" s="216" t="n">
        <v>3</v>
      </c>
      <c r="C26" s="217" t="n">
        <v>5</v>
      </c>
      <c r="D26" s="218" t="n">
        <v>0.25</v>
      </c>
    </row>
  </sheetData>
  <mergeCells count="4">
    <mergeCell ref="B3:D3"/>
    <mergeCell ref="B11:D11"/>
    <mergeCell ref="B16:D16"/>
    <mergeCell ref="B22:D2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2023-05-19T22:14:38Z</dcterms:created>
  <dc:creator>AJG</dc:creator>
  <dc:description/>
  <dc:language>en-US</dc:language>
  <cp:lastModifiedBy/>
  <dcterms:modified xsi:type="dcterms:W3CDTF">2026-10-05T02:49:11Z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